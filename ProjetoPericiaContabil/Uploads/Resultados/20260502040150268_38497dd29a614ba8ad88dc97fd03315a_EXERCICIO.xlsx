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CE04F49-F3EF-492A-B42A-847A9BD3B278}" xr6:coauthVersionLast="47" xr6:coauthVersionMax="47" xr10:uidLastSave="{00000000-0000-0000-0000-000000000000}"/>
  <bookViews>
    <workbookView xWindow="-120" yWindow="-120" windowWidth="20730" windowHeight="11310" activeTab="7" xr2:uid="{22D9265D-D6E7-4968-99CA-1B3A75B3D762}"/>
  </bookViews>
  <sheets>
    <sheet name="MODELO VAZIO" sheetId="1" r:id="rId1"/>
    <sheet name="EX1 (MANUAL)" sheetId="2" r:id="rId2"/>
    <sheet name="EX1(MACRO)" sheetId="20" r:id="rId3"/>
    <sheet name="EX2" sheetId="11" r:id="rId4"/>
    <sheet name="EX3" sheetId="15" r:id="rId5"/>
    <sheet name="EX4" sheetId="16" r:id="rId6"/>
    <sheet name="EX5" sheetId="21" r:id="rId7"/>
    <sheet name="EX5 (2)" sheetId="2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22" l="1"/>
  <c r="M25" i="22"/>
  <c r="L25" i="22"/>
  <c r="K25" i="22"/>
  <c r="J25" i="22"/>
  <c r="I25" i="22"/>
  <c r="H25" i="22"/>
  <c r="G25" i="22"/>
  <c r="F25" i="22"/>
  <c r="E25" i="22"/>
  <c r="D25" i="22"/>
  <c r="N23" i="22"/>
  <c r="M23" i="22"/>
  <c r="L23" i="22"/>
  <c r="K23" i="22"/>
  <c r="J23" i="22"/>
  <c r="I23" i="22"/>
  <c r="H23" i="22"/>
  <c r="G23" i="22"/>
  <c r="F23" i="22"/>
  <c r="E23" i="22"/>
  <c r="D23" i="22"/>
  <c r="N22" i="22"/>
  <c r="M22" i="22"/>
  <c r="L22" i="22"/>
  <c r="K22" i="22"/>
  <c r="J22" i="22"/>
  <c r="I22" i="22"/>
  <c r="H22" i="22"/>
  <c r="G22" i="22"/>
  <c r="F22" i="22"/>
  <c r="E22" i="22"/>
  <c r="D22" i="22"/>
  <c r="N21" i="22"/>
  <c r="M21" i="22"/>
  <c r="L21" i="22"/>
  <c r="K21" i="22"/>
  <c r="J21" i="22"/>
  <c r="I21" i="22"/>
  <c r="H21" i="22"/>
  <c r="G21" i="22"/>
  <c r="F21" i="22"/>
  <c r="E21" i="22"/>
  <c r="D21" i="22"/>
  <c r="N20" i="22"/>
  <c r="M20" i="22"/>
  <c r="L20" i="22"/>
  <c r="K20" i="22"/>
  <c r="J20" i="22"/>
  <c r="I20" i="22"/>
  <c r="H20" i="22"/>
  <c r="G20" i="22"/>
  <c r="F20" i="22"/>
  <c r="E20" i="22"/>
  <c r="D20" i="22"/>
  <c r="N24" i="22"/>
  <c r="M24" i="22"/>
  <c r="L24" i="22"/>
  <c r="K24" i="22"/>
  <c r="J24" i="22"/>
  <c r="I24" i="22"/>
  <c r="H24" i="22"/>
  <c r="G24" i="22"/>
  <c r="F24" i="22"/>
  <c r="E24" i="22"/>
  <c r="D24" i="22"/>
  <c r="O17" i="22"/>
  <c r="O16" i="22"/>
  <c r="O15" i="22"/>
  <c r="O14" i="22"/>
  <c r="O13" i="22"/>
  <c r="N17" i="22"/>
  <c r="M17" i="22"/>
  <c r="L17" i="22"/>
  <c r="K17" i="22"/>
  <c r="J17" i="22"/>
  <c r="I17" i="22"/>
  <c r="H17" i="22"/>
  <c r="G17" i="22"/>
  <c r="F17" i="22"/>
  <c r="E17" i="22"/>
  <c r="D17" i="22"/>
  <c r="N16" i="22"/>
  <c r="M16" i="22"/>
  <c r="L16" i="22"/>
  <c r="K16" i="22"/>
  <c r="J16" i="22"/>
  <c r="I16" i="22"/>
  <c r="H16" i="22"/>
  <c r="G16" i="22"/>
  <c r="F16" i="22"/>
  <c r="E16" i="22"/>
  <c r="D16" i="22"/>
  <c r="N15" i="22"/>
  <c r="M15" i="22"/>
  <c r="L15" i="22"/>
  <c r="K15" i="22"/>
  <c r="J15" i="22"/>
  <c r="I15" i="22"/>
  <c r="H15" i="22"/>
  <c r="G15" i="22"/>
  <c r="F15" i="22"/>
  <c r="E15" i="22"/>
  <c r="D15" i="22"/>
  <c r="N13" i="22"/>
  <c r="M13" i="22"/>
  <c r="L13" i="22"/>
  <c r="K13" i="22"/>
  <c r="J13" i="22"/>
  <c r="I13" i="22"/>
  <c r="H13" i="22"/>
  <c r="G13" i="22"/>
  <c r="F13" i="22"/>
  <c r="E13" i="22"/>
  <c r="D13" i="22"/>
  <c r="N12" i="22"/>
  <c r="M12" i="22"/>
  <c r="L12" i="22"/>
  <c r="K12" i="22"/>
  <c r="J12" i="22"/>
  <c r="I12" i="22"/>
  <c r="H12" i="22"/>
  <c r="G12" i="22"/>
  <c r="F12" i="22"/>
  <c r="E12" i="22"/>
  <c r="D12" i="22"/>
  <c r="N14" i="22"/>
  <c r="M14" i="22"/>
  <c r="L14" i="22"/>
  <c r="K14" i="22"/>
  <c r="J14" i="22"/>
  <c r="I14" i="22"/>
  <c r="H14" i="22"/>
  <c r="G14" i="22"/>
  <c r="F14" i="22"/>
  <c r="E14" i="22"/>
  <c r="D14" i="22"/>
  <c r="O9" i="22"/>
  <c r="O8" i="22"/>
  <c r="O7" i="22"/>
  <c r="O6" i="22"/>
  <c r="O5" i="22"/>
  <c r="J25" i="20"/>
  <c r="I25" i="20"/>
  <c r="H25" i="20"/>
  <c r="G25" i="20"/>
  <c r="F25" i="20"/>
  <c r="E25" i="20"/>
  <c r="D25" i="20"/>
  <c r="J23" i="20"/>
  <c r="I23" i="20"/>
  <c r="H23" i="20"/>
  <c r="G23" i="20"/>
  <c r="F23" i="20"/>
  <c r="E23" i="20"/>
  <c r="D23" i="20"/>
  <c r="J22" i="20"/>
  <c r="I22" i="20"/>
  <c r="H22" i="20"/>
  <c r="G22" i="20"/>
  <c r="F22" i="20"/>
  <c r="E22" i="20"/>
  <c r="D22" i="20"/>
  <c r="J24" i="20"/>
  <c r="I24" i="20"/>
  <c r="H24" i="20"/>
  <c r="G24" i="20"/>
  <c r="F24" i="20"/>
  <c r="E24" i="20"/>
  <c r="D24" i="20"/>
  <c r="K19" i="20"/>
  <c r="K18" i="20"/>
  <c r="K17" i="20"/>
  <c r="J19" i="20"/>
  <c r="I19" i="20"/>
  <c r="H19" i="20"/>
  <c r="G19" i="20"/>
  <c r="F19" i="20"/>
  <c r="E19" i="20"/>
  <c r="D19" i="20"/>
  <c r="J18" i="20"/>
  <c r="I18" i="20"/>
  <c r="H18" i="20"/>
  <c r="G18" i="20"/>
  <c r="F18" i="20"/>
  <c r="E18" i="20"/>
  <c r="D18" i="20"/>
  <c r="J16" i="20"/>
  <c r="I16" i="20"/>
  <c r="H16" i="20"/>
  <c r="G16" i="20"/>
  <c r="F16" i="20"/>
  <c r="E16" i="20"/>
  <c r="D16" i="20"/>
  <c r="J17" i="20"/>
  <c r="I17" i="20"/>
  <c r="H17" i="20"/>
  <c r="G17" i="20"/>
  <c r="F17" i="20"/>
  <c r="E17" i="20"/>
  <c r="D17" i="20"/>
  <c r="K13" i="20"/>
  <c r="K12" i="20"/>
  <c r="K11" i="20"/>
  <c r="J12" i="20"/>
  <c r="I12" i="20"/>
  <c r="H12" i="20"/>
  <c r="G12" i="20"/>
  <c r="F12" i="20"/>
  <c r="E12" i="20"/>
  <c r="D12" i="20"/>
  <c r="J11" i="20"/>
  <c r="I11" i="20"/>
  <c r="H11" i="20"/>
  <c r="G11" i="20"/>
  <c r="F11" i="20"/>
  <c r="E11" i="20"/>
  <c r="D11" i="20"/>
  <c r="J10" i="20"/>
  <c r="I10" i="20"/>
  <c r="H10" i="20"/>
  <c r="G10" i="20"/>
  <c r="F10" i="20"/>
  <c r="E10" i="20"/>
  <c r="D10" i="20"/>
  <c r="J13" i="20"/>
  <c r="I13" i="20"/>
  <c r="H13" i="20"/>
  <c r="G13" i="20"/>
  <c r="F13" i="20"/>
  <c r="E13" i="20"/>
  <c r="D13" i="20"/>
  <c r="K7" i="20"/>
  <c r="K6" i="20"/>
  <c r="K5" i="20"/>
  <c r="I10" i="16"/>
  <c r="H10" i="16"/>
  <c r="G10" i="16"/>
  <c r="F10" i="16"/>
  <c r="E10" i="16"/>
  <c r="D10" i="16"/>
  <c r="I9" i="16"/>
  <c r="H9" i="16"/>
  <c r="G9" i="16"/>
  <c r="F9" i="16"/>
  <c r="E9" i="16"/>
  <c r="D9" i="16"/>
  <c r="I11" i="16"/>
  <c r="H11" i="16"/>
  <c r="G11" i="16"/>
  <c r="F11" i="16"/>
  <c r="E11" i="16"/>
  <c r="D11" i="16"/>
  <c r="J6" i="16"/>
  <c r="J5" i="16"/>
  <c r="K19" i="15"/>
  <c r="J19" i="15"/>
  <c r="I19" i="15"/>
  <c r="H19" i="15"/>
  <c r="G19" i="15"/>
  <c r="F19" i="15"/>
  <c r="E19" i="15"/>
  <c r="D19" i="15"/>
  <c r="K18" i="15"/>
  <c r="J18" i="15"/>
  <c r="I18" i="15"/>
  <c r="H18" i="15"/>
  <c r="G18" i="15"/>
  <c r="F18" i="15"/>
  <c r="E18" i="15"/>
  <c r="D18" i="15"/>
  <c r="K16" i="15"/>
  <c r="J16" i="15"/>
  <c r="I16" i="15"/>
  <c r="H16" i="15"/>
  <c r="G16" i="15"/>
  <c r="F16" i="15"/>
  <c r="E16" i="15"/>
  <c r="D16" i="15"/>
  <c r="K17" i="15"/>
  <c r="J17" i="15"/>
  <c r="I17" i="15"/>
  <c r="H17" i="15"/>
  <c r="G17" i="15"/>
  <c r="F17" i="15"/>
  <c r="E17" i="15"/>
  <c r="D17" i="15"/>
  <c r="L13" i="15"/>
  <c r="L12" i="15"/>
  <c r="L11" i="15"/>
  <c r="K12" i="15"/>
  <c r="J12" i="15"/>
  <c r="I12" i="15"/>
  <c r="H12" i="15"/>
  <c r="G12" i="15"/>
  <c r="F12" i="15"/>
  <c r="E12" i="15"/>
  <c r="D12" i="15"/>
  <c r="K11" i="15"/>
  <c r="J11" i="15"/>
  <c r="I11" i="15"/>
  <c r="H11" i="15"/>
  <c r="G11" i="15"/>
  <c r="F11" i="15"/>
  <c r="E11" i="15"/>
  <c r="D11" i="15"/>
  <c r="K10" i="15"/>
  <c r="J10" i="15"/>
  <c r="I10" i="15"/>
  <c r="H10" i="15"/>
  <c r="G10" i="15"/>
  <c r="F10" i="15"/>
  <c r="E10" i="15"/>
  <c r="D10" i="15"/>
  <c r="K13" i="15"/>
  <c r="J13" i="15"/>
  <c r="I13" i="15"/>
  <c r="H13" i="15"/>
  <c r="G13" i="15"/>
  <c r="F13" i="15"/>
  <c r="E13" i="15"/>
  <c r="D13" i="15"/>
  <c r="L7" i="15"/>
  <c r="L6" i="15"/>
  <c r="L5" i="15"/>
  <c r="K13" i="11"/>
  <c r="J13" i="11"/>
  <c r="I13" i="11"/>
  <c r="H13" i="11"/>
  <c r="G13" i="11"/>
  <c r="F13" i="11"/>
  <c r="E13" i="11"/>
  <c r="D13" i="11"/>
  <c r="K11" i="11"/>
  <c r="J11" i="11"/>
  <c r="I11" i="11"/>
  <c r="H11" i="11"/>
  <c r="G11" i="11"/>
  <c r="F11" i="11"/>
  <c r="E11" i="11"/>
  <c r="D11" i="11"/>
  <c r="K10" i="11"/>
  <c r="J10" i="11"/>
  <c r="I10" i="11"/>
  <c r="H10" i="11"/>
  <c r="G10" i="11"/>
  <c r="F10" i="11"/>
  <c r="E10" i="11"/>
  <c r="D10" i="11"/>
  <c r="K12" i="11"/>
  <c r="J12" i="11"/>
  <c r="I12" i="11"/>
  <c r="H12" i="11"/>
  <c r="G12" i="11"/>
  <c r="F12" i="11"/>
  <c r="E12" i="11"/>
  <c r="D12" i="11"/>
  <c r="L7" i="11"/>
  <c r="L6" i="11"/>
  <c r="L5" i="11"/>
  <c r="E19" i="2"/>
  <c r="F19" i="2"/>
  <c r="G19" i="2"/>
  <c r="H19" i="2"/>
  <c r="I19" i="2"/>
  <c r="J19" i="2"/>
  <c r="D19" i="2"/>
  <c r="K5" i="2"/>
  <c r="H17" i="2"/>
  <c r="D17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J17" i="2" s="1"/>
  <c r="I11" i="2"/>
  <c r="I17" i="2" s="1"/>
  <c r="H11" i="2"/>
  <c r="G11" i="2"/>
  <c r="G17" i="2" s="1"/>
  <c r="F11" i="2"/>
  <c r="F17" i="2" s="1"/>
  <c r="E11" i="2"/>
  <c r="E17" i="2" s="1"/>
  <c r="D11" i="2"/>
  <c r="J10" i="2"/>
  <c r="I10" i="2"/>
  <c r="I16" i="2" s="1"/>
  <c r="H10" i="2"/>
  <c r="H16" i="2" s="1"/>
  <c r="F10" i="2"/>
  <c r="F16" i="2" s="1"/>
  <c r="E10" i="2"/>
  <c r="D10" i="2"/>
  <c r="D16" i="2" s="1"/>
  <c r="K7" i="2"/>
  <c r="K6" i="2"/>
  <c r="I23" i="2" l="1"/>
  <c r="E18" i="2"/>
  <c r="I18" i="2"/>
  <c r="I24" i="2" s="1"/>
  <c r="I22" i="2" s="1"/>
  <c r="I25" i="2"/>
  <c r="K17" i="2"/>
  <c r="F18" i="2"/>
  <c r="F24" i="2" s="1"/>
  <c r="F23" i="2" s="1"/>
  <c r="J18" i="2"/>
  <c r="F25" i="2"/>
  <c r="K19" i="2"/>
  <c r="F22" i="2"/>
  <c r="E16" i="2"/>
  <c r="J16" i="2"/>
  <c r="G23" i="2"/>
  <c r="G18" i="2"/>
  <c r="G24" i="2" s="1"/>
  <c r="G25" i="2"/>
  <c r="G10" i="2"/>
  <c r="G16" i="2" s="1"/>
  <c r="G22" i="2" s="1"/>
  <c r="D18" i="2"/>
  <c r="D24" i="2" s="1"/>
  <c r="D23" i="2" s="1"/>
  <c r="H18" i="2"/>
  <c r="H24" i="2" s="1"/>
  <c r="H23" i="2" s="1"/>
  <c r="H25" i="2" l="1"/>
  <c r="J22" i="2"/>
  <c r="D25" i="2"/>
  <c r="K18" i="2"/>
  <c r="J24" i="2"/>
  <c r="D22" i="2"/>
  <c r="H22" i="2"/>
  <c r="E22" i="2"/>
  <c r="E24" i="2"/>
  <c r="E23" i="2" l="1"/>
  <c r="E25" i="2"/>
  <c r="J23" i="2"/>
  <c r="J25" i="2"/>
</calcChain>
</file>

<file path=xl/sharedStrings.xml><?xml version="1.0" encoding="utf-8"?>
<sst xmlns="http://schemas.openxmlformats.org/spreadsheetml/2006/main" count="308" uniqueCount="17">
  <si>
    <t>VARIÁVEL</t>
  </si>
  <si>
    <t>Z</t>
  </si>
  <si>
    <t>X1</t>
  </si>
  <si>
    <t>X2</t>
  </si>
  <si>
    <t>F1</t>
  </si>
  <si>
    <t>F2</t>
  </si>
  <si>
    <t>F3</t>
  </si>
  <si>
    <t>B</t>
  </si>
  <si>
    <t>MARCAR VÁRIAVEL MAIS NEGATIVA</t>
  </si>
  <si>
    <t>O B DIVIDO PELO VALOR DA COLUNA COM MAIOR VALOR NEGATIVO</t>
  </si>
  <si>
    <t>ONDE APARECER MENOR VALOR MACAR A LINHA</t>
  </si>
  <si>
    <t>AQUI TROCA PRO X2 POR CAUSA DA COLUNA X2 ESTAR O MAIOR NEGATIVO</t>
  </si>
  <si>
    <t xml:space="preserve"> </t>
  </si>
  <si>
    <t>X3</t>
  </si>
  <si>
    <t>X4</t>
  </si>
  <si>
    <t>F4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</si>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</sst>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86F-B345-45EB-B9DA-407A1C256805}">
  <sheetPr codeName="Planilha1"/>
  <dimension ref="A2:O25"/>
  <sheetViews>
    <sheetView workbookViewId="0">
      <selection activeCell="K11" sqref="K11"/>
    </sheetView>
  </sheetViews>
  <sheetFormatPr defaultRowHeight="12.75" customHeight="1" x14ac:dyDescent="0.25"/>
  <cols>
    <col min="1" max="14" width="9.140625" style="6"/>
    <col min="15" max="15" width="9.140625" style="1"/>
  </cols>
  <sheetData>
    <row r="2" spans="3:15" ht="12.75" customHeight="1" x14ac:dyDescent="0.25">
      <c r="H2" s="1"/>
      <c r="I2"/>
      <c r="J2"/>
      <c r="K2"/>
      <c r="L2"/>
      <c r="M2"/>
      <c r="N2"/>
      <c r="O2"/>
    </row>
    <row r="3" spans="3:15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O3"/>
    </row>
    <row r="4" spans="3:15" ht="12.75" customHeight="1" x14ac:dyDescent="0.25">
      <c r="C4" s="3" t="s">
        <v>1</v>
      </c>
      <c r="D4" s="4">
        <v>1</v>
      </c>
      <c r="E4" s="4">
        <v>-4000</v>
      </c>
      <c r="F4" s="4">
        <v>-5000</v>
      </c>
      <c r="G4" s="4">
        <v>0</v>
      </c>
      <c r="H4" s="4">
        <v>0</v>
      </c>
      <c r="I4" s="4">
        <v>0</v>
      </c>
      <c r="J4" s="4">
        <v>0</v>
      </c>
      <c r="O4"/>
    </row>
    <row r="5" spans="3:15" ht="12.75" customHeight="1" x14ac:dyDescent="0.25">
      <c r="C5" s="3" t="s">
        <v>4</v>
      </c>
      <c r="D5" s="4">
        <v>0</v>
      </c>
      <c r="E5" s="4">
        <v>5</v>
      </c>
      <c r="F5" s="4">
        <v>10</v>
      </c>
      <c r="G5" s="4">
        <v>1</v>
      </c>
      <c r="H5" s="4">
        <v>0</v>
      </c>
      <c r="I5" s="4">
        <v>0</v>
      </c>
      <c r="J5" s="4">
        <v>100</v>
      </c>
      <c r="O5"/>
    </row>
    <row r="6" spans="3:15" ht="12.75" customHeight="1" x14ac:dyDescent="0.25">
      <c r="C6" s="3" t="s">
        <v>5</v>
      </c>
      <c r="D6" s="4">
        <v>0</v>
      </c>
      <c r="E6" s="4">
        <v>9</v>
      </c>
      <c r="F6" s="4">
        <v>6</v>
      </c>
      <c r="G6" s="4">
        <v>0</v>
      </c>
      <c r="H6" s="4">
        <v>1</v>
      </c>
      <c r="I6" s="4">
        <v>0</v>
      </c>
      <c r="J6" s="4">
        <v>108</v>
      </c>
      <c r="O6"/>
    </row>
    <row r="7" spans="3:15" ht="12.75" customHeight="1" x14ac:dyDescent="0.25">
      <c r="C7" s="3" t="s">
        <v>6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1</v>
      </c>
      <c r="J7" s="4">
        <v>8</v>
      </c>
      <c r="O7"/>
    </row>
    <row r="8" spans="3:15" ht="12.75" customHeight="1" x14ac:dyDescent="0.25">
      <c r="H8"/>
      <c r="I8"/>
      <c r="J8"/>
      <c r="K8"/>
      <c r="L8"/>
      <c r="M8"/>
      <c r="N8"/>
      <c r="O8"/>
    </row>
    <row r="9" spans="3:15" ht="12.75" customHeight="1" x14ac:dyDescent="0.25">
      <c r="C9" s="2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</row>
    <row r="10" spans="3:15" ht="12.75" customHeight="1" x14ac:dyDescent="0.25">
      <c r="C10" s="3" t="s">
        <v>1</v>
      </c>
      <c r="D10" s="4"/>
      <c r="E10" s="4"/>
      <c r="F10" s="4"/>
      <c r="G10" s="4"/>
      <c r="H10" s="4"/>
      <c r="I10" s="4"/>
      <c r="J10" s="4"/>
    </row>
    <row r="11" spans="3:15" ht="12.75" customHeight="1" x14ac:dyDescent="0.25">
      <c r="C11" s="3" t="s">
        <v>4</v>
      </c>
      <c r="D11" s="4"/>
      <c r="E11" s="4"/>
      <c r="F11" s="4"/>
      <c r="G11" s="4"/>
      <c r="H11" s="4"/>
      <c r="I11" s="4"/>
      <c r="J11" s="4"/>
    </row>
    <row r="12" spans="3:15" ht="12.75" customHeight="1" x14ac:dyDescent="0.25">
      <c r="C12" s="3" t="s">
        <v>5</v>
      </c>
      <c r="D12" s="4"/>
      <c r="E12" s="4"/>
      <c r="F12" s="4"/>
      <c r="G12" s="4"/>
      <c r="H12" s="4"/>
      <c r="I12" s="4"/>
      <c r="J12" s="4"/>
    </row>
    <row r="13" spans="3:15" ht="12.75" customHeight="1" x14ac:dyDescent="0.25">
      <c r="C13" s="3" t="s">
        <v>6</v>
      </c>
      <c r="D13" s="4"/>
      <c r="E13" s="4"/>
      <c r="F13" s="4"/>
      <c r="G13" s="4"/>
      <c r="H13" s="4"/>
      <c r="I13" s="4"/>
      <c r="J13" s="4"/>
    </row>
    <row r="15" spans="3:15" ht="12.75" customHeight="1" x14ac:dyDescent="0.25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</row>
    <row r="16" spans="3:15" ht="12.75" customHeight="1" x14ac:dyDescent="0.25">
      <c r="C16" s="3" t="s">
        <v>1</v>
      </c>
      <c r="D16" s="4"/>
      <c r="E16" s="4"/>
      <c r="F16" s="4"/>
      <c r="G16" s="4"/>
      <c r="H16" s="4"/>
      <c r="I16" s="4"/>
      <c r="J16" s="4"/>
    </row>
    <row r="17" spans="3:10" ht="12.75" customHeight="1" x14ac:dyDescent="0.25">
      <c r="C17" s="3" t="s">
        <v>4</v>
      </c>
      <c r="D17" s="4"/>
      <c r="E17" s="4"/>
      <c r="F17" s="4"/>
      <c r="G17" s="4"/>
      <c r="H17" s="4"/>
      <c r="I17" s="4"/>
      <c r="J17" s="4"/>
    </row>
    <row r="18" spans="3:10" ht="12.75" customHeight="1" x14ac:dyDescent="0.25">
      <c r="C18" s="3" t="s">
        <v>5</v>
      </c>
      <c r="D18" s="4"/>
      <c r="E18" s="4"/>
      <c r="F18" s="4"/>
      <c r="G18" s="4"/>
      <c r="H18" s="4"/>
      <c r="I18" s="4"/>
      <c r="J18" s="4"/>
    </row>
    <row r="19" spans="3:10" ht="12.75" customHeight="1" x14ac:dyDescent="0.25">
      <c r="C19" s="3" t="s">
        <v>6</v>
      </c>
      <c r="D19" s="4"/>
      <c r="E19" s="4"/>
      <c r="F19" s="4"/>
      <c r="G19" s="4"/>
      <c r="H19" s="4"/>
      <c r="I19" s="4"/>
      <c r="J19" s="4"/>
    </row>
    <row r="21" spans="3:10" ht="12.75" customHeight="1" x14ac:dyDescent="0.25">
      <c r="C21" s="2" t="s">
        <v>0</v>
      </c>
      <c r="D21" s="9"/>
      <c r="E21" s="9"/>
      <c r="F21" s="9"/>
      <c r="G21" s="9"/>
      <c r="H21" s="9"/>
      <c r="I21" s="9"/>
      <c r="J21" s="9"/>
    </row>
    <row r="22" spans="3:10" ht="12.75" customHeight="1" x14ac:dyDescent="0.25">
      <c r="C22" s="3" t="s">
        <v>1</v>
      </c>
      <c r="D22" s="4"/>
      <c r="E22" s="4"/>
      <c r="F22" s="4"/>
      <c r="G22" s="4"/>
      <c r="H22" s="4"/>
      <c r="I22" s="4"/>
      <c r="J22" s="4"/>
    </row>
    <row r="23" spans="3:10" ht="12.75" customHeight="1" x14ac:dyDescent="0.25">
      <c r="C23" s="3" t="s">
        <v>4</v>
      </c>
      <c r="D23" s="4"/>
      <c r="E23" s="4"/>
      <c r="F23" s="4"/>
      <c r="G23" s="4"/>
      <c r="H23" s="4"/>
      <c r="I23" s="4"/>
      <c r="J23" s="4"/>
    </row>
    <row r="24" spans="3:10" ht="12.75" customHeight="1" x14ac:dyDescent="0.25">
      <c r="C24" s="3" t="s">
        <v>5</v>
      </c>
      <c r="D24" s="4"/>
      <c r="E24" s="4"/>
      <c r="F24" s="4"/>
      <c r="G24" s="4"/>
      <c r="H24" s="4"/>
      <c r="I24" s="4"/>
      <c r="J24" s="4"/>
    </row>
    <row r="25" spans="3:10" ht="12.75" customHeight="1" x14ac:dyDescent="0.25">
      <c r="C25" s="3" t="s">
        <v>6</v>
      </c>
      <c r="D25" s="4"/>
      <c r="E25" s="4"/>
      <c r="F25" s="4"/>
      <c r="G25" s="4"/>
      <c r="H25" s="4"/>
      <c r="I25" s="4"/>
      <c r="J25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2CA2-4617-4692-BD72-3A92A98EF373}">
  <sheetPr codeName="Planilha2"/>
  <dimension ref="A2:U25"/>
  <sheetViews>
    <sheetView topLeftCell="A2" workbookViewId="0">
      <selection activeCell="D25" sqref="D25"/>
    </sheetView>
  </sheetViews>
  <sheetFormatPr defaultRowHeight="12.75" customHeight="1" x14ac:dyDescent="0.25"/>
  <cols>
    <col min="1" max="11" width="9.140625" style="6"/>
    <col min="12" max="12" width="20" style="6" customWidth="1"/>
    <col min="13" max="20" width="9.140625" style="6"/>
    <col min="21" max="21" width="9.140625" style="1"/>
  </cols>
  <sheetData>
    <row r="2" spans="1:21" ht="12.75" customHeight="1" x14ac:dyDescent="0.25">
      <c r="F2" s="7" t="s">
        <v>8</v>
      </c>
    </row>
    <row r="3" spans="1:21" ht="12.75" customHeight="1" x14ac:dyDescent="0.25">
      <c r="C3" s="2" t="s">
        <v>0</v>
      </c>
      <c r="D3" s="2" t="s">
        <v>1</v>
      </c>
      <c r="E3" s="2" t="s">
        <v>2</v>
      </c>
      <c r="F3" s="3" t="s">
        <v>3</v>
      </c>
      <c r="G3" s="2" t="s">
        <v>4</v>
      </c>
      <c r="H3" s="2" t="s">
        <v>5</v>
      </c>
      <c r="I3" s="2" t="s">
        <v>6</v>
      </c>
      <c r="J3" s="2" t="s">
        <v>7</v>
      </c>
      <c r="U3"/>
    </row>
    <row r="4" spans="1:21" ht="12.75" customHeight="1" x14ac:dyDescent="0.25">
      <c r="C4" s="3" t="s">
        <v>1</v>
      </c>
      <c r="D4" s="4">
        <v>1</v>
      </c>
      <c r="E4" s="4">
        <v>-4000</v>
      </c>
      <c r="F4" s="5">
        <v>-5000</v>
      </c>
      <c r="G4" s="4">
        <v>0</v>
      </c>
      <c r="H4" s="4">
        <v>0</v>
      </c>
      <c r="I4" s="4">
        <v>0</v>
      </c>
      <c r="J4" s="4">
        <v>0</v>
      </c>
      <c r="U4"/>
    </row>
    <row r="5" spans="1:21" ht="12.75" customHeight="1" x14ac:dyDescent="0.25">
      <c r="C5" s="3" t="s">
        <v>4</v>
      </c>
      <c r="D5" s="4">
        <v>0</v>
      </c>
      <c r="E5" s="4">
        <v>5</v>
      </c>
      <c r="F5" s="5">
        <v>10</v>
      </c>
      <c r="G5" s="4">
        <v>1</v>
      </c>
      <c r="H5" s="4">
        <v>0</v>
      </c>
      <c r="I5" s="4">
        <v>0</v>
      </c>
      <c r="J5" s="4">
        <v>100</v>
      </c>
      <c r="K5" s="6">
        <f>J5/F5</f>
        <v>10</v>
      </c>
      <c r="L5" s="10" t="s">
        <v>9</v>
      </c>
      <c r="U5"/>
    </row>
    <row r="6" spans="1:21" ht="12.75" customHeight="1" x14ac:dyDescent="0.25">
      <c r="C6" s="3" t="s">
        <v>5</v>
      </c>
      <c r="D6" s="4">
        <v>0</v>
      </c>
      <c r="E6" s="4">
        <v>9</v>
      </c>
      <c r="F6" s="5">
        <v>6</v>
      </c>
      <c r="G6" s="4">
        <v>0</v>
      </c>
      <c r="H6" s="4">
        <v>1</v>
      </c>
      <c r="I6" s="4">
        <v>0</v>
      </c>
      <c r="J6" s="4">
        <v>108</v>
      </c>
      <c r="K6" s="6">
        <f>J6/F6</f>
        <v>18</v>
      </c>
      <c r="L6" s="10"/>
      <c r="U6"/>
    </row>
    <row r="7" spans="1:21" ht="12.75" customHeight="1" x14ac:dyDescent="0.25">
      <c r="C7" s="3" t="s">
        <v>6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1</v>
      </c>
      <c r="J7" s="5">
        <v>8</v>
      </c>
      <c r="K7" s="7">
        <f>J7/F7</f>
        <v>8</v>
      </c>
      <c r="L7" s="10"/>
      <c r="M7" s="8" t="s">
        <v>10</v>
      </c>
      <c r="U7"/>
    </row>
    <row r="8" spans="1:21" ht="12.75" customHeight="1" x14ac:dyDescent="0.25">
      <c r="E8" s="7" t="s">
        <v>8</v>
      </c>
      <c r="U8"/>
    </row>
    <row r="9" spans="1:21" ht="12.75" customHeight="1" x14ac:dyDescent="0.25">
      <c r="C9" s="2" t="s">
        <v>0</v>
      </c>
      <c r="D9" s="2" t="s">
        <v>1</v>
      </c>
      <c r="E9" s="3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</row>
    <row r="10" spans="1:21" ht="12.75" customHeight="1" x14ac:dyDescent="0.25">
      <c r="C10" s="3" t="s">
        <v>1</v>
      </c>
      <c r="D10" s="4">
        <f>D4-$F$4*D13</f>
        <v>1</v>
      </c>
      <c r="E10" s="5">
        <f t="shared" ref="E10:J10" si="0">E4-$F$4*E13</f>
        <v>-4000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5000</v>
      </c>
      <c r="J10" s="4">
        <f t="shared" si="0"/>
        <v>40000</v>
      </c>
    </row>
    <row r="11" spans="1:21" ht="12.75" customHeight="1" x14ac:dyDescent="0.25">
      <c r="C11" s="3" t="s">
        <v>4</v>
      </c>
      <c r="D11" s="5">
        <f>D5-$F$5*D13</f>
        <v>0</v>
      </c>
      <c r="E11" s="5">
        <f t="shared" ref="E11:J11" si="1">E5-$F$5*E13</f>
        <v>5</v>
      </c>
      <c r="F11" s="5">
        <f t="shared" si="1"/>
        <v>0</v>
      </c>
      <c r="G11" s="5">
        <f t="shared" si="1"/>
        <v>1</v>
      </c>
      <c r="H11" s="5">
        <f t="shared" si="1"/>
        <v>0</v>
      </c>
      <c r="I11" s="5">
        <f t="shared" si="1"/>
        <v>-10</v>
      </c>
      <c r="J11" s="5">
        <f t="shared" si="1"/>
        <v>20</v>
      </c>
      <c r="K11" s="7">
        <f>J11/E11</f>
        <v>4</v>
      </c>
      <c r="L11" s="10" t="s">
        <v>9</v>
      </c>
      <c r="M11" s="8" t="s">
        <v>10</v>
      </c>
    </row>
    <row r="12" spans="1:21" ht="12.75" customHeight="1" x14ac:dyDescent="0.25">
      <c r="C12" s="3" t="s">
        <v>5</v>
      </c>
      <c r="D12" s="4">
        <f>D6-$F$6*D13</f>
        <v>0</v>
      </c>
      <c r="E12" s="5">
        <f t="shared" ref="E12:J12" si="2">E6-$F$6*E13</f>
        <v>9</v>
      </c>
      <c r="F12" s="4">
        <f t="shared" si="2"/>
        <v>0</v>
      </c>
      <c r="G12" s="4">
        <f t="shared" si="2"/>
        <v>0</v>
      </c>
      <c r="H12" s="4">
        <f t="shared" si="2"/>
        <v>1</v>
      </c>
      <c r="I12" s="4">
        <f t="shared" si="2"/>
        <v>-6</v>
      </c>
      <c r="J12" s="4">
        <f t="shared" si="2"/>
        <v>60</v>
      </c>
      <c r="K12" s="6">
        <f>J12/E12</f>
        <v>6.666666666666667</v>
      </c>
      <c r="L12" s="10"/>
    </row>
    <row r="13" spans="1:21" ht="12.75" customHeight="1" x14ac:dyDescent="0.25">
      <c r="A13" s="6" t="s">
        <v>11</v>
      </c>
      <c r="C13" s="3" t="s">
        <v>3</v>
      </c>
      <c r="D13" s="4">
        <f>D7</f>
        <v>0</v>
      </c>
      <c r="E13" s="5">
        <f t="shared" ref="E13:J13" si="3">E7</f>
        <v>0</v>
      </c>
      <c r="F13" s="4">
        <f t="shared" si="3"/>
        <v>1</v>
      </c>
      <c r="G13" s="4">
        <f t="shared" si="3"/>
        <v>0</v>
      </c>
      <c r="H13" s="4">
        <f t="shared" si="3"/>
        <v>0</v>
      </c>
      <c r="I13" s="4">
        <f t="shared" si="3"/>
        <v>1</v>
      </c>
      <c r="J13" s="4">
        <f t="shared" si="3"/>
        <v>8</v>
      </c>
      <c r="K13" s="6" t="e">
        <f>J13/E13</f>
        <v>#DIV/0!</v>
      </c>
      <c r="L13" s="10"/>
      <c r="M13" s="8"/>
    </row>
    <row r="15" spans="1:21" ht="12.75" customHeight="1" x14ac:dyDescent="0.25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3" t="s">
        <v>6</v>
      </c>
      <c r="J15" s="2" t="s">
        <v>7</v>
      </c>
    </row>
    <row r="16" spans="1:21" ht="12.75" customHeight="1" x14ac:dyDescent="0.25">
      <c r="C16" s="3" t="s">
        <v>1</v>
      </c>
      <c r="D16" s="4">
        <f>D10-$E$10*D17</f>
        <v>1</v>
      </c>
      <c r="E16" s="4">
        <f t="shared" ref="E16:I16" si="4">E10-$E$10*E17</f>
        <v>0</v>
      </c>
      <c r="F16" s="4">
        <f t="shared" si="4"/>
        <v>0</v>
      </c>
      <c r="G16" s="4">
        <f t="shared" si="4"/>
        <v>800</v>
      </c>
      <c r="H16" s="4">
        <f t="shared" si="4"/>
        <v>0</v>
      </c>
      <c r="I16" s="5">
        <f t="shared" si="4"/>
        <v>-3000</v>
      </c>
      <c r="J16" s="4">
        <f>J10-$E$10*J17</f>
        <v>56000</v>
      </c>
    </row>
    <row r="17" spans="3:13" ht="12.75" customHeight="1" x14ac:dyDescent="0.25">
      <c r="C17" s="3" t="s">
        <v>2</v>
      </c>
      <c r="D17" s="4">
        <f>D11/$E$11</f>
        <v>0</v>
      </c>
      <c r="E17" s="4">
        <f t="shared" ref="E17:I17" si="5">E11/$E$11</f>
        <v>1</v>
      </c>
      <c r="F17" s="4">
        <f t="shared" si="5"/>
        <v>0</v>
      </c>
      <c r="G17" s="4">
        <f t="shared" si="5"/>
        <v>0.2</v>
      </c>
      <c r="H17" s="4">
        <f t="shared" si="5"/>
        <v>0</v>
      </c>
      <c r="I17" s="5">
        <f t="shared" si="5"/>
        <v>-2</v>
      </c>
      <c r="J17" s="4">
        <f>J11/$E$11</f>
        <v>4</v>
      </c>
      <c r="K17" s="6">
        <f>J17/I17</f>
        <v>-2</v>
      </c>
      <c r="L17" s="10" t="s">
        <v>9</v>
      </c>
    </row>
    <row r="18" spans="3:13" ht="12.75" customHeight="1" x14ac:dyDescent="0.25">
      <c r="C18" s="3" t="s">
        <v>5</v>
      </c>
      <c r="D18" s="5">
        <f>D12-$E$12*D17</f>
        <v>0</v>
      </c>
      <c r="E18" s="5">
        <f t="shared" ref="E18:J18" si="6">E12-$E$12*E17</f>
        <v>0</v>
      </c>
      <c r="F18" s="5">
        <f t="shared" si="6"/>
        <v>0</v>
      </c>
      <c r="G18" s="5">
        <f t="shared" si="6"/>
        <v>-1.8</v>
      </c>
      <c r="H18" s="5">
        <f t="shared" si="6"/>
        <v>1</v>
      </c>
      <c r="I18" s="5">
        <f t="shared" si="6"/>
        <v>12</v>
      </c>
      <c r="J18" s="5">
        <f t="shared" si="6"/>
        <v>24</v>
      </c>
      <c r="K18" s="7">
        <f>J18/I18</f>
        <v>2</v>
      </c>
      <c r="L18" s="10"/>
      <c r="M18" s="8" t="s">
        <v>10</v>
      </c>
    </row>
    <row r="19" spans="3:13" ht="12.75" customHeight="1" x14ac:dyDescent="0.25">
      <c r="C19" s="3" t="s">
        <v>3</v>
      </c>
      <c r="D19" s="4">
        <f>D13-$E$13*D17</f>
        <v>0</v>
      </c>
      <c r="E19" s="4">
        <f t="shared" ref="E19:J19" si="7">E13-$E$13*E17</f>
        <v>0</v>
      </c>
      <c r="F19" s="4">
        <f t="shared" si="7"/>
        <v>1</v>
      </c>
      <c r="G19" s="4">
        <f t="shared" si="7"/>
        <v>0</v>
      </c>
      <c r="H19" s="4">
        <f t="shared" si="7"/>
        <v>0</v>
      </c>
      <c r="I19" s="5">
        <f t="shared" si="7"/>
        <v>1</v>
      </c>
      <c r="J19" s="4">
        <f t="shared" si="7"/>
        <v>8</v>
      </c>
      <c r="K19" s="6">
        <f>J19/I19</f>
        <v>8</v>
      </c>
      <c r="L19" s="10"/>
      <c r="M19" s="8"/>
    </row>
    <row r="21" spans="3:13" ht="12.75" customHeight="1" x14ac:dyDescent="0.25">
      <c r="C21" s="2" t="s">
        <v>0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7</v>
      </c>
    </row>
    <row r="22" spans="3:13" ht="12.75" customHeight="1" x14ac:dyDescent="0.25">
      <c r="C22" s="3" t="s">
        <v>1</v>
      </c>
      <c r="D22" s="4">
        <f>D16-$I$16*D24</f>
        <v>1</v>
      </c>
      <c r="E22" s="4">
        <f t="shared" ref="E22:J22" si="8">E16-$I$16*E24</f>
        <v>0</v>
      </c>
      <c r="F22" s="4">
        <f t="shared" si="8"/>
        <v>0</v>
      </c>
      <c r="G22" s="4">
        <f t="shared" si="8"/>
        <v>350</v>
      </c>
      <c r="H22" s="4">
        <f t="shared" si="8"/>
        <v>250</v>
      </c>
      <c r="I22" s="4">
        <f t="shared" si="8"/>
        <v>0</v>
      </c>
      <c r="J22" s="4">
        <f t="shared" si="8"/>
        <v>62000</v>
      </c>
    </row>
    <row r="23" spans="3:13" ht="12.75" customHeight="1" x14ac:dyDescent="0.25">
      <c r="C23" s="3" t="s">
        <v>2</v>
      </c>
      <c r="D23" s="4">
        <f>D17-$I$17*D24</f>
        <v>0</v>
      </c>
      <c r="E23" s="4">
        <f t="shared" ref="E23:J23" si="9">E17-$I$17*E24</f>
        <v>1</v>
      </c>
      <c r="F23" s="4">
        <f t="shared" si="9"/>
        <v>0</v>
      </c>
      <c r="G23" s="4">
        <f t="shared" si="9"/>
        <v>-9.9999999999999978E-2</v>
      </c>
      <c r="H23" s="4">
        <f t="shared" si="9"/>
        <v>0.16666666666666666</v>
      </c>
      <c r="I23" s="4">
        <f t="shared" si="9"/>
        <v>0</v>
      </c>
      <c r="J23" s="4">
        <f t="shared" si="9"/>
        <v>8</v>
      </c>
    </row>
    <row r="24" spans="3:13" ht="12.75" customHeight="1" x14ac:dyDescent="0.25">
      <c r="C24" s="3" t="s">
        <v>6</v>
      </c>
      <c r="D24" s="4">
        <f>D18/$I$18</f>
        <v>0</v>
      </c>
      <c r="E24" s="4">
        <f t="shared" ref="E24:I24" si="10">E18/$I$18</f>
        <v>0</v>
      </c>
      <c r="F24" s="4">
        <f t="shared" si="10"/>
        <v>0</v>
      </c>
      <c r="G24" s="4">
        <f t="shared" si="10"/>
        <v>-0.15</v>
      </c>
      <c r="H24" s="4">
        <f t="shared" si="10"/>
        <v>8.3333333333333329E-2</v>
      </c>
      <c r="I24" s="4">
        <f t="shared" si="10"/>
        <v>1</v>
      </c>
      <c r="J24" s="4">
        <f>J18/$I$18</f>
        <v>2</v>
      </c>
    </row>
    <row r="25" spans="3:13" ht="12.75" customHeight="1" x14ac:dyDescent="0.25">
      <c r="C25" s="3" t="s">
        <v>3</v>
      </c>
      <c r="D25" s="4">
        <f>D19-$I$19*D24</f>
        <v>0</v>
      </c>
      <c r="E25" s="4">
        <f t="shared" ref="E25:J25" si="11">E19-$I$19*E24</f>
        <v>0</v>
      </c>
      <c r="F25" s="4">
        <f t="shared" si="11"/>
        <v>1</v>
      </c>
      <c r="G25" s="4">
        <f t="shared" si="11"/>
        <v>0.15</v>
      </c>
      <c r="H25" s="4">
        <f t="shared" si="11"/>
        <v>-8.3333333333333329E-2</v>
      </c>
      <c r="I25" s="4">
        <f t="shared" si="11"/>
        <v>0</v>
      </c>
      <c r="J25" s="4">
        <f t="shared" si="11"/>
        <v>6</v>
      </c>
    </row>
  </sheetData>
  <mergeCells count="3">
    <mergeCell ref="L5:L7"/>
    <mergeCell ref="L11:L13"/>
    <mergeCell ref="L17:L1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1B1B-B84F-4174-9C91-AF5CA2349F4C}">
  <sheetPr codeName="Planilha4"/>
  <dimension ref="A2:O25"/>
  <sheetViews>
    <sheetView workbookViewId="0">
      <selection activeCell="L20" sqref="L20"/>
    </sheetView>
  </sheetViews>
  <sheetFormatPr defaultRowHeight="12.75" customHeight="1" x14ac:dyDescent="0.25"/>
  <cols>
    <col min="1" max="14" width="9.140625" style="6"/>
    <col min="15" max="15" width="9.140625" style="1"/>
  </cols>
  <sheetData>
    <row r="2" spans="3:15" ht="12.75" customHeight="1" x14ac:dyDescent="0.25">
      <c r="H2" s="1"/>
      <c r="I2"/>
      <c r="J2"/>
      <c r="K2"/>
      <c r="L2"/>
      <c r="M2"/>
      <c r="N2"/>
      <c r="O2"/>
    </row>
    <row r="3" spans="3:15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O3"/>
    </row>
    <row r="4" spans="3:15" ht="12.75" customHeight="1" x14ac:dyDescent="0.25">
      <c r="C4" s="3" t="s">
        <v>1</v>
      </c>
      <c r="D4" s="4">
        <v>1</v>
      </c>
      <c r="E4" s="4">
        <v>-4000</v>
      </c>
      <c r="F4" s="4">
        <v>-5000</v>
      </c>
      <c r="G4" s="4">
        <v>0</v>
      </c>
      <c r="H4" s="4">
        <v>0</v>
      </c>
      <c r="I4" s="4">
        <v>0</v>
      </c>
      <c r="J4" s="4">
        <v>0</v>
      </c>
      <c r="O4"/>
    </row>
    <row r="5" spans="3:15" ht="12.75" customHeight="1" x14ac:dyDescent="0.25">
      <c r="C5" s="3" t="s">
        <v>4</v>
      </c>
      <c r="D5" s="4">
        <v>0</v>
      </c>
      <c r="E5" s="4">
        <v>5</v>
      </c>
      <c r="F5" s="4">
        <v>10</v>
      </c>
      <c r="G5" s="4">
        <v>1</v>
      </c>
      <c r="H5" s="4">
        <v>0</v>
      </c>
      <c r="I5" s="4">
        <v>0</v>
      </c>
      <c r="J5" s="4">
        <v>100</v>
      </c>
      <c r="K5" s="6">
        <f>J5/F5</f>
        <v>10</v>
      </c>
      <c r="O5"/>
    </row>
    <row r="6" spans="3:15" ht="12.75" customHeight="1" x14ac:dyDescent="0.25">
      <c r="C6" s="3" t="s">
        <v>5</v>
      </c>
      <c r="D6" s="4">
        <v>0</v>
      </c>
      <c r="E6" s="4">
        <v>9</v>
      </c>
      <c r="F6" s="4">
        <v>6</v>
      </c>
      <c r="G6" s="4">
        <v>0</v>
      </c>
      <c r="H6" s="4">
        <v>1</v>
      </c>
      <c r="I6" s="4">
        <v>0</v>
      </c>
      <c r="J6" s="4">
        <v>108</v>
      </c>
      <c r="K6" s="6">
        <f>J6/F6</f>
        <v>18</v>
      </c>
      <c r="O6"/>
    </row>
    <row r="7" spans="3:15" ht="12.75" customHeight="1" x14ac:dyDescent="0.25">
      <c r="C7" s="3" t="s">
        <v>6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1</v>
      </c>
      <c r="J7" s="4">
        <v>8</v>
      </c>
      <c r="K7" s="6">
        <f>J7/F7</f>
        <v>8</v>
      </c>
      <c r="O7"/>
    </row>
    <row r="9" spans="3:15" ht="12.75" customHeight="1" x14ac:dyDescent="0.25">
      <c r="C9" s="2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</row>
    <row r="10" spans="3:15" ht="12.75" customHeight="1" x14ac:dyDescent="0.25">
      <c r="C10" s="3" t="s">
        <v>1</v>
      </c>
      <c r="D10" s="4">
        <f>D4-$F$4*D13</f>
        <v>1</v>
      </c>
      <c r="E10" s="4">
        <f>E4-$F$4*E13</f>
        <v>-4000</v>
      </c>
      <c r="F10" s="4">
        <f>F4-$F$4*F13</f>
        <v>0</v>
      </c>
      <c r="G10" s="4">
        <f>G4-$F$4*G13</f>
        <v>0</v>
      </c>
      <c r="H10" s="4">
        <f>H4-$F$4*H13</f>
        <v>0</v>
      </c>
      <c r="I10" s="4">
        <f>I4-$F$4*I13</f>
        <v>5000</v>
      </c>
      <c r="J10" s="4">
        <f>J4-$F$4*J13</f>
        <v>40000</v>
      </c>
    </row>
    <row r="11" spans="3:15" ht="12.75" customHeight="1" x14ac:dyDescent="0.25">
      <c r="C11" s="3" t="s">
        <v>4</v>
      </c>
      <c r="D11" s="4">
        <f>D5-$F$5*D13</f>
        <v>0</v>
      </c>
      <c r="E11" s="4">
        <f>E5-$F$5*E13</f>
        <v>5</v>
      </c>
      <c r="F11" s="4">
        <f>F5-$F$5*F13</f>
        <v>0</v>
      </c>
      <c r="G11" s="4">
        <f>G5-$F$5*G13</f>
        <v>1</v>
      </c>
      <c r="H11" s="4">
        <f>H5-$F$5*H13</f>
        <v>0</v>
      </c>
      <c r="I11" s="4">
        <f>I5-$F$5*I13</f>
        <v>-10</v>
      </c>
      <c r="J11" s="4">
        <f>J5-$F$5*J13</f>
        <v>20</v>
      </c>
      <c r="K11" s="6">
        <f>J11/E11</f>
        <v>4</v>
      </c>
    </row>
    <row r="12" spans="3:15" ht="12.75" customHeight="1" x14ac:dyDescent="0.25">
      <c r="C12" s="3" t="s">
        <v>5</v>
      </c>
      <c r="D12" s="4">
        <f>D6-$F$6*D13</f>
        <v>0</v>
      </c>
      <c r="E12" s="4">
        <f>E6-$F$6*E13</f>
        <v>9</v>
      </c>
      <c r="F12" s="4">
        <f>F6-$F$6*F13</f>
        <v>0</v>
      </c>
      <c r="G12" s="4">
        <f>G6-$F$6*G13</f>
        <v>0</v>
      </c>
      <c r="H12" s="4">
        <f>H6-$F$6*H13</f>
        <v>1</v>
      </c>
      <c r="I12" s="4">
        <f>I6-$F$6*I13</f>
        <v>-6</v>
      </c>
      <c r="J12" s="4">
        <f>J6-$F$6*J13</f>
        <v>60</v>
      </c>
      <c r="K12" s="6">
        <f>J12/E12</f>
        <v>6.666666666666667</v>
      </c>
    </row>
    <row r="13" spans="3:15" ht="12.75" customHeight="1" x14ac:dyDescent="0.25">
      <c r="C13" s="3" t="s">
        <v>3</v>
      </c>
      <c r="D13" s="4">
        <f>D7/$F$7</f>
        <v>0</v>
      </c>
      <c r="E13" s="4">
        <f>E7/$F$7</f>
        <v>0</v>
      </c>
      <c r="F13" s="4">
        <f>F7/$F$7</f>
        <v>1</v>
      </c>
      <c r="G13" s="4">
        <f>G7/$F$7</f>
        <v>0</v>
      </c>
      <c r="H13" s="4">
        <f>H7/$F$7</f>
        <v>0</v>
      </c>
      <c r="I13" s="4">
        <f>I7/$F$7</f>
        <v>1</v>
      </c>
      <c r="J13" s="4">
        <f>J7/$F$7</f>
        <v>8</v>
      </c>
      <c r="K13" s="6" t="e">
        <f>J13/E13</f>
        <v>#DIV/0!</v>
      </c>
    </row>
    <row r="15" spans="3:15" ht="12.75" customHeight="1" x14ac:dyDescent="0.25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</row>
    <row r="16" spans="3:15" ht="12.75" customHeight="1" x14ac:dyDescent="0.25">
      <c r="C16" s="3" t="s">
        <v>1</v>
      </c>
      <c r="D16" s="4">
        <f>D10-$E$10*D17</f>
        <v>1</v>
      </c>
      <c r="E16" s="4">
        <f>E10-$E$10*E17</f>
        <v>0</v>
      </c>
      <c r="F16" s="4">
        <f>F10-$E$10*F17</f>
        <v>0</v>
      </c>
      <c r="G16" s="4">
        <f>G10-$E$10*G17</f>
        <v>800</v>
      </c>
      <c r="H16" s="4">
        <f>H10-$E$10*H17</f>
        <v>0</v>
      </c>
      <c r="I16" s="4">
        <f>I10-$E$10*I17</f>
        <v>-3000</v>
      </c>
      <c r="J16" s="4">
        <f>J10-$E$10*J17</f>
        <v>56000</v>
      </c>
    </row>
    <row r="17" spans="3:11" ht="12.75" customHeight="1" x14ac:dyDescent="0.25">
      <c r="C17" s="3" t="s">
        <v>2</v>
      </c>
      <c r="D17" s="4">
        <f>D11/$E$11</f>
        <v>0</v>
      </c>
      <c r="E17" s="4">
        <f>E11/$E$11</f>
        <v>1</v>
      </c>
      <c r="F17" s="4">
        <f>F11/$E$11</f>
        <v>0</v>
      </c>
      <c r="G17" s="4">
        <f>G11/$E$11</f>
        <v>0.2</v>
      </c>
      <c r="H17" s="4">
        <f>H11/$E$11</f>
        <v>0</v>
      </c>
      <c r="I17" s="4">
        <f>I11/$E$11</f>
        <v>-2</v>
      </c>
      <c r="J17" s="4">
        <f>J11/$E$11</f>
        <v>4</v>
      </c>
      <c r="K17" s="6">
        <f>J17/I17</f>
        <v>-2</v>
      </c>
    </row>
    <row r="18" spans="3:11" ht="12.75" customHeight="1" x14ac:dyDescent="0.25">
      <c r="C18" s="3" t="s">
        <v>5</v>
      </c>
      <c r="D18" s="4">
        <f>D12-$E$12*D17</f>
        <v>0</v>
      </c>
      <c r="E18" s="4">
        <f>E12-$E$12*E17</f>
        <v>0</v>
      </c>
      <c r="F18" s="4">
        <f>F12-$E$12*F17</f>
        <v>0</v>
      </c>
      <c r="G18" s="4">
        <f>G12-$E$12*G17</f>
        <v>-1.8</v>
      </c>
      <c r="H18" s="4">
        <f>H12-$E$12*H17</f>
        <v>1</v>
      </c>
      <c r="I18" s="4">
        <f>I12-$E$12*I17</f>
        <v>12</v>
      </c>
      <c r="J18" s="4">
        <f>J12-$E$12*J17</f>
        <v>24</v>
      </c>
      <c r="K18" s="6">
        <f>J18/I18</f>
        <v>2</v>
      </c>
    </row>
    <row r="19" spans="3:11" ht="12.75" customHeight="1" x14ac:dyDescent="0.25">
      <c r="C19" s="3" t="s">
        <v>3</v>
      </c>
      <c r="D19" s="4">
        <f>D13-$E$13*D17</f>
        <v>0</v>
      </c>
      <c r="E19" s="4">
        <f>E13-$E$13*E17</f>
        <v>0</v>
      </c>
      <c r="F19" s="4">
        <f>F13-$E$13*F17</f>
        <v>1</v>
      </c>
      <c r="G19" s="4">
        <f>G13-$E$13*G17</f>
        <v>0</v>
      </c>
      <c r="H19" s="4">
        <f>H13-$E$13*H17</f>
        <v>0</v>
      </c>
      <c r="I19" s="4">
        <f>I13-$E$13*I17</f>
        <v>1</v>
      </c>
      <c r="J19" s="4">
        <f>J13-$E$13*J17</f>
        <v>8</v>
      </c>
      <c r="K19" s="6">
        <f>J19/I19</f>
        <v>8</v>
      </c>
    </row>
    <row r="21" spans="3:11" ht="12.75" customHeight="1" x14ac:dyDescent="0.25">
      <c r="C21" s="2" t="s">
        <v>0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7</v>
      </c>
    </row>
    <row r="22" spans="3:11" ht="12.75" customHeight="1" x14ac:dyDescent="0.25">
      <c r="C22" s="3" t="s">
        <v>1</v>
      </c>
      <c r="D22" s="4">
        <f>D16-$I$16*D24</f>
        <v>1</v>
      </c>
      <c r="E22" s="4">
        <f>E16-$I$16*E24</f>
        <v>0</v>
      </c>
      <c r="F22" s="4">
        <f>F16-$I$16*F24</f>
        <v>0</v>
      </c>
      <c r="G22" s="4">
        <f>G16-$I$16*G24</f>
        <v>350</v>
      </c>
      <c r="H22" s="4">
        <f>H16-$I$16*H24</f>
        <v>250</v>
      </c>
      <c r="I22" s="4">
        <f>I16-$I$16*I24</f>
        <v>0</v>
      </c>
      <c r="J22" s="4">
        <f>J16-$I$16*J24</f>
        <v>62000</v>
      </c>
    </row>
    <row r="23" spans="3:11" ht="12.75" customHeight="1" x14ac:dyDescent="0.25">
      <c r="C23" s="3" t="s">
        <v>2</v>
      </c>
      <c r="D23" s="4">
        <f>D17-$I$17*D24</f>
        <v>0</v>
      </c>
      <c r="E23" s="4">
        <f>E17-$I$17*E24</f>
        <v>1</v>
      </c>
      <c r="F23" s="4">
        <f>F17-$I$17*F24</f>
        <v>0</v>
      </c>
      <c r="G23" s="4">
        <f>G17-$I$17*G24</f>
        <v>-9.9999999999999978E-2</v>
      </c>
      <c r="H23" s="4">
        <f>H17-$I$17*H24</f>
        <v>0.16666666666666666</v>
      </c>
      <c r="I23" s="4">
        <f>I17-$I$17*I24</f>
        <v>0</v>
      </c>
      <c r="J23" s="4">
        <f>J17-$I$17*J24</f>
        <v>8</v>
      </c>
    </row>
    <row r="24" spans="3:11" ht="12.75" customHeight="1" x14ac:dyDescent="0.25">
      <c r="C24" s="3" t="s">
        <v>6</v>
      </c>
      <c r="D24" s="4">
        <f>D18/$I$18</f>
        <v>0</v>
      </c>
      <c r="E24" s="4">
        <f>E18/$I$18</f>
        <v>0</v>
      </c>
      <c r="F24" s="4">
        <f>F18/$I$18</f>
        <v>0</v>
      </c>
      <c r="G24" s="4">
        <f>G18/$I$18</f>
        <v>-0.15</v>
      </c>
      <c r="H24" s="4">
        <f>H18/$I$18</f>
        <v>8.3333333333333329E-2</v>
      </c>
      <c r="I24" s="4">
        <f>I18/$I$18</f>
        <v>1</v>
      </c>
      <c r="J24" s="4">
        <f>J18/$I$18</f>
        <v>2</v>
      </c>
    </row>
    <row r="25" spans="3:11" ht="12.75" customHeight="1" x14ac:dyDescent="0.25">
      <c r="C25" s="3" t="s">
        <v>3</v>
      </c>
      <c r="D25" s="4">
        <f>D19-$I$19*D24</f>
        <v>0</v>
      </c>
      <c r="E25" s="4">
        <f>E19-$I$19*E24</f>
        <v>0</v>
      </c>
      <c r="F25" s="4">
        <f>F19-$I$19*F24</f>
        <v>1</v>
      </c>
      <c r="G25" s="4">
        <f>G19-$I$19*G24</f>
        <v>0.15</v>
      </c>
      <c r="H25" s="4">
        <f>H19-$I$19*H24</f>
        <v>-8.3333333333333329E-2</v>
      </c>
      <c r="I25" s="4">
        <f>I19-$I$19*I24</f>
        <v>0</v>
      </c>
      <c r="J25" s="4">
        <f>J19-$I$19*J24</f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7F2A-02B0-4DE9-8E65-D263218EF6C8}">
  <sheetPr codeName="Planilha5"/>
  <dimension ref="A2:O13"/>
  <sheetViews>
    <sheetView workbookViewId="0">
      <selection activeCell="K18" sqref="K18"/>
    </sheetView>
  </sheetViews>
  <sheetFormatPr defaultRowHeight="12.75" customHeight="1" x14ac:dyDescent="0.25"/>
  <cols>
    <col min="1" max="14" width="9.140625" style="6"/>
    <col min="15" max="15" width="9.140625" style="1"/>
  </cols>
  <sheetData>
    <row r="2" spans="1:15" ht="12.75" customHeight="1" x14ac:dyDescent="0.25">
      <c r="I2" s="1"/>
      <c r="J2"/>
      <c r="K2"/>
      <c r="L2"/>
      <c r="M2"/>
      <c r="N2"/>
      <c r="O2"/>
    </row>
    <row r="3" spans="1:15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13</v>
      </c>
      <c r="H3" s="2" t="s">
        <v>4</v>
      </c>
      <c r="I3" s="2" t="s">
        <v>5</v>
      </c>
      <c r="J3" s="2" t="s">
        <v>6</v>
      </c>
      <c r="K3" s="2" t="s">
        <v>7</v>
      </c>
      <c r="O3"/>
    </row>
    <row r="4" spans="1:15" ht="12.75" customHeight="1" x14ac:dyDescent="0.25">
      <c r="A4" s="6" t="s">
        <v>12</v>
      </c>
      <c r="C4" s="3" t="s">
        <v>1</v>
      </c>
      <c r="D4" s="4">
        <v>1</v>
      </c>
      <c r="E4" s="4">
        <v>-4</v>
      </c>
      <c r="F4" s="4">
        <v>-5</v>
      </c>
      <c r="G4" s="4">
        <v>-2</v>
      </c>
      <c r="H4" s="4">
        <v>0</v>
      </c>
      <c r="I4" s="4">
        <v>0</v>
      </c>
      <c r="J4" s="4">
        <v>0</v>
      </c>
      <c r="K4" s="4">
        <v>0</v>
      </c>
      <c r="O4"/>
    </row>
    <row r="5" spans="1:15" ht="12.75" customHeight="1" x14ac:dyDescent="0.25">
      <c r="C5" s="3" t="s">
        <v>4</v>
      </c>
      <c r="D5" s="4">
        <v>0</v>
      </c>
      <c r="E5" s="4">
        <v>3</v>
      </c>
      <c r="F5" s="4">
        <v>0</v>
      </c>
      <c r="G5" s="4">
        <v>1</v>
      </c>
      <c r="H5" s="4">
        <v>1</v>
      </c>
      <c r="I5" s="4">
        <v>0</v>
      </c>
      <c r="J5" s="4">
        <v>0</v>
      </c>
      <c r="K5" s="4">
        <v>150</v>
      </c>
      <c r="L5" s="6" t="e">
        <f>K5/F5</f>
        <v>#DIV/0!</v>
      </c>
      <c r="O5"/>
    </row>
    <row r="6" spans="1:15" ht="12.75" customHeight="1" x14ac:dyDescent="0.25">
      <c r="C6" s="3" t="s">
        <v>5</v>
      </c>
      <c r="D6" s="4">
        <v>0</v>
      </c>
      <c r="E6" s="4">
        <v>2</v>
      </c>
      <c r="F6" s="4">
        <v>2</v>
      </c>
      <c r="G6" s="4">
        <v>1</v>
      </c>
      <c r="H6" s="4">
        <v>0</v>
      </c>
      <c r="I6" s="4">
        <v>1</v>
      </c>
      <c r="J6" s="4">
        <v>0</v>
      </c>
      <c r="K6" s="4">
        <v>100</v>
      </c>
      <c r="L6" s="6">
        <f>K6/F6</f>
        <v>50</v>
      </c>
      <c r="O6"/>
    </row>
    <row r="7" spans="1:15" ht="12.75" customHeight="1" x14ac:dyDescent="0.25">
      <c r="C7" s="3" t="s">
        <v>6</v>
      </c>
      <c r="D7" s="4">
        <v>0</v>
      </c>
      <c r="E7" s="4">
        <v>0</v>
      </c>
      <c r="F7" s="4">
        <v>1</v>
      </c>
      <c r="G7" s="4">
        <v>4</v>
      </c>
      <c r="H7" s="4">
        <v>0</v>
      </c>
      <c r="I7" s="4">
        <v>0</v>
      </c>
      <c r="J7" s="4">
        <v>1</v>
      </c>
      <c r="K7" s="4">
        <v>200</v>
      </c>
      <c r="L7" s="6">
        <f>K7/F7</f>
        <v>200</v>
      </c>
      <c r="O7"/>
    </row>
    <row r="9" spans="1:15" ht="12.75" customHeight="1" x14ac:dyDescent="0.25">
      <c r="C9" s="2" t="s">
        <v>0</v>
      </c>
      <c r="D9" s="2" t="s">
        <v>1</v>
      </c>
      <c r="E9" s="2" t="s">
        <v>2</v>
      </c>
      <c r="F9" s="2" t="s">
        <v>3</v>
      </c>
      <c r="G9" s="2" t="s">
        <v>13</v>
      </c>
      <c r="H9" s="2" t="s">
        <v>4</v>
      </c>
      <c r="I9" s="2" t="s">
        <v>5</v>
      </c>
      <c r="J9" s="2" t="s">
        <v>6</v>
      </c>
      <c r="K9" s="2" t="s">
        <v>7</v>
      </c>
    </row>
    <row r="10" spans="1:15" ht="12.75" customHeight="1" x14ac:dyDescent="0.25">
      <c r="C10" s="3" t="s">
        <v>1</v>
      </c>
      <c r="D10" s="4">
        <f>D4-$F$4*D12</f>
        <v>1</v>
      </c>
      <c r="E10" s="4">
        <f>E4-$F$4*E12</f>
        <v>1</v>
      </c>
      <c r="F10" s="4">
        <f>F4-$F$4*F12</f>
        <v>0</v>
      </c>
      <c r="G10" s="4">
        <f>G4-$F$4*G12</f>
        <v>0.5</v>
      </c>
      <c r="H10" s="4">
        <f>H4-$F$4*H12</f>
        <v>0</v>
      </c>
      <c r="I10" s="4">
        <f>I4-$F$4*I12</f>
        <v>2.5</v>
      </c>
      <c r="J10" s="4">
        <f>J4-$F$4*J12</f>
        <v>0</v>
      </c>
      <c r="K10" s="4">
        <f>K4-$F$4*K12</f>
        <v>250</v>
      </c>
    </row>
    <row r="11" spans="1:15" ht="12.75" customHeight="1" x14ac:dyDescent="0.25">
      <c r="C11" s="3" t="s">
        <v>4</v>
      </c>
      <c r="D11" s="4">
        <f>D5-$F$5*D12</f>
        <v>0</v>
      </c>
      <c r="E11" s="4">
        <f>E5-$F$5*E12</f>
        <v>3</v>
      </c>
      <c r="F11" s="4">
        <f>F5-$F$5*F12</f>
        <v>0</v>
      </c>
      <c r="G11" s="4">
        <f>G5-$F$5*G12</f>
        <v>1</v>
      </c>
      <c r="H11" s="4">
        <f>H5-$F$5*H12</f>
        <v>1</v>
      </c>
      <c r="I11" s="4">
        <f>I5-$F$5*I12</f>
        <v>0</v>
      </c>
      <c r="J11" s="4">
        <f>J5-$F$5*J12</f>
        <v>0</v>
      </c>
      <c r="K11" s="4">
        <f>K5-$F$5*K12</f>
        <v>150</v>
      </c>
    </row>
    <row r="12" spans="1:15" ht="12.75" customHeight="1" x14ac:dyDescent="0.25">
      <c r="C12" s="3" t="s">
        <v>3</v>
      </c>
      <c r="D12" s="4">
        <f>D6/$F$6</f>
        <v>0</v>
      </c>
      <c r="E12" s="4">
        <f>E6/$F$6</f>
        <v>1</v>
      </c>
      <c r="F12" s="4">
        <f>F6/$F$6</f>
        <v>1</v>
      </c>
      <c r="G12" s="4">
        <f>G6/$F$6</f>
        <v>0.5</v>
      </c>
      <c r="H12" s="4">
        <f>H6/$F$6</f>
        <v>0</v>
      </c>
      <c r="I12" s="4">
        <f>I6/$F$6</f>
        <v>0.5</v>
      </c>
      <c r="J12" s="4">
        <f>J6/$F$6</f>
        <v>0</v>
      </c>
      <c r="K12" s="4">
        <f>K6/$F$6</f>
        <v>50</v>
      </c>
    </row>
    <row r="13" spans="1:15" ht="12.75" customHeight="1" x14ac:dyDescent="0.25">
      <c r="C13" s="3" t="s">
        <v>6</v>
      </c>
      <c r="D13" s="4">
        <f>D7-$F$7*D12</f>
        <v>0</v>
      </c>
      <c r="E13" s="4">
        <f>E7-$F$7*E12</f>
        <v>-1</v>
      </c>
      <c r="F13" s="4">
        <f>F7-$F$7*F12</f>
        <v>0</v>
      </c>
      <c r="G13" s="4">
        <f>G7-$F$7*G12</f>
        <v>3.5</v>
      </c>
      <c r="H13" s="4">
        <f>H7-$F$7*H12</f>
        <v>0</v>
      </c>
      <c r="I13" s="4">
        <f>I7-$F$7*I12</f>
        <v>-0.5</v>
      </c>
      <c r="J13" s="4">
        <f>J7-$F$7*J12</f>
        <v>1</v>
      </c>
      <c r="K13" s="4">
        <f>K7-$F$7*K12</f>
        <v>150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6DF2-41D0-4D30-9A98-FDD5084C07D0}">
  <sheetPr codeName="Planilha6"/>
  <dimension ref="A2:N19"/>
  <sheetViews>
    <sheetView workbookViewId="0">
      <selection activeCell="M20" sqref="M20"/>
    </sheetView>
  </sheetViews>
  <sheetFormatPr defaultRowHeight="12.75" customHeight="1" x14ac:dyDescent="0.25"/>
  <cols>
    <col min="1" max="13" width="9.140625" style="6"/>
    <col min="14" max="14" width="9.140625" style="1"/>
  </cols>
  <sheetData>
    <row r="2" spans="1:14" ht="12.75" customHeight="1" x14ac:dyDescent="0.25">
      <c r="I2" s="1"/>
      <c r="J2"/>
      <c r="K2"/>
      <c r="L2"/>
      <c r="M2"/>
      <c r="N2"/>
    </row>
    <row r="3" spans="1:14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13</v>
      </c>
      <c r="H3" s="2" t="s">
        <v>4</v>
      </c>
      <c r="I3" s="2" t="s">
        <v>5</v>
      </c>
      <c r="J3" s="2" t="s">
        <v>6</v>
      </c>
      <c r="K3" s="2" t="s">
        <v>7</v>
      </c>
      <c r="N3"/>
    </row>
    <row r="4" spans="1:14" ht="12.75" customHeight="1" x14ac:dyDescent="0.25">
      <c r="A4" s="6" t="s">
        <v>12</v>
      </c>
      <c r="C4" s="3" t="s">
        <v>1</v>
      </c>
      <c r="D4" s="4">
        <v>1</v>
      </c>
      <c r="E4" s="4">
        <v>-6</v>
      </c>
      <c r="F4" s="4">
        <v>-4</v>
      </c>
      <c r="G4" s="4">
        <v>-2</v>
      </c>
      <c r="H4" s="4">
        <v>0</v>
      </c>
      <c r="I4" s="4">
        <v>0</v>
      </c>
      <c r="J4" s="4">
        <v>0</v>
      </c>
      <c r="K4" s="4">
        <v>0</v>
      </c>
      <c r="N4"/>
    </row>
    <row r="5" spans="1:14" ht="12.75" customHeight="1" x14ac:dyDescent="0.25">
      <c r="C5" s="3" t="s">
        <v>4</v>
      </c>
      <c r="D5" s="4">
        <v>0</v>
      </c>
      <c r="E5" s="4">
        <v>1</v>
      </c>
      <c r="F5" s="4">
        <v>3</v>
      </c>
      <c r="G5" s="4">
        <v>3</v>
      </c>
      <c r="H5" s="4">
        <v>1</v>
      </c>
      <c r="I5" s="4">
        <v>0</v>
      </c>
      <c r="J5" s="4">
        <v>0</v>
      </c>
      <c r="K5" s="4">
        <v>90</v>
      </c>
      <c r="L5" s="6">
        <f>K5/E5</f>
        <v>90</v>
      </c>
      <c r="N5"/>
    </row>
    <row r="6" spans="1:14" ht="12.75" customHeight="1" x14ac:dyDescent="0.25">
      <c r="C6" s="3" t="s">
        <v>5</v>
      </c>
      <c r="D6" s="4">
        <v>0</v>
      </c>
      <c r="E6" s="4">
        <v>2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100</v>
      </c>
      <c r="L6" s="6">
        <f>K6/E6</f>
        <v>50</v>
      </c>
      <c r="N6"/>
    </row>
    <row r="7" spans="1:14" ht="12.75" customHeight="1" x14ac:dyDescent="0.25">
      <c r="C7" s="3" t="s">
        <v>6</v>
      </c>
      <c r="D7" s="4">
        <v>0</v>
      </c>
      <c r="E7" s="4">
        <v>4</v>
      </c>
      <c r="F7" s="4">
        <v>0</v>
      </c>
      <c r="G7" s="4">
        <v>2</v>
      </c>
      <c r="H7" s="4">
        <v>0</v>
      </c>
      <c r="I7" s="4">
        <v>0</v>
      </c>
      <c r="J7" s="4">
        <v>1</v>
      </c>
      <c r="K7" s="4">
        <v>60</v>
      </c>
      <c r="L7" s="6">
        <f>K7/E7</f>
        <v>15</v>
      </c>
      <c r="N7"/>
    </row>
    <row r="9" spans="1:14" ht="12.75" customHeight="1" x14ac:dyDescent="0.25">
      <c r="C9" s="2" t="s">
        <v>0</v>
      </c>
      <c r="D9" s="2" t="s">
        <v>1</v>
      </c>
      <c r="E9" s="2" t="s">
        <v>2</v>
      </c>
      <c r="F9" s="2" t="s">
        <v>3</v>
      </c>
      <c r="G9" s="2" t="s">
        <v>13</v>
      </c>
      <c r="H9" s="2" t="s">
        <v>4</v>
      </c>
      <c r="I9" s="2" t="s">
        <v>5</v>
      </c>
      <c r="J9" s="2" t="s">
        <v>6</v>
      </c>
      <c r="K9" s="2" t="s">
        <v>7</v>
      </c>
    </row>
    <row r="10" spans="1:14" ht="12.75" customHeight="1" x14ac:dyDescent="0.25">
      <c r="C10" s="3" t="s">
        <v>1</v>
      </c>
      <c r="D10" s="4">
        <f>D4-$E$4*D13</f>
        <v>1</v>
      </c>
      <c r="E10" s="4">
        <f>E4-$E$4*E13</f>
        <v>0</v>
      </c>
      <c r="F10" s="4">
        <f>F4-$E$4*F13</f>
        <v>-4</v>
      </c>
      <c r="G10" s="4">
        <f>G4-$E$4*G13</f>
        <v>1</v>
      </c>
      <c r="H10" s="4">
        <f>H4-$E$4*H13</f>
        <v>0</v>
      </c>
      <c r="I10" s="4">
        <f>I4-$E$4*I13</f>
        <v>0</v>
      </c>
      <c r="J10" s="4">
        <f>J4-$E$4*J13</f>
        <v>1.5</v>
      </c>
      <c r="K10" s="4">
        <f>K4-$E$4*K13</f>
        <v>90</v>
      </c>
    </row>
    <row r="11" spans="1:14" ht="12.75" customHeight="1" x14ac:dyDescent="0.25">
      <c r="C11" s="3" t="s">
        <v>4</v>
      </c>
      <c r="D11" s="4">
        <f>D5-$E$5*D13</f>
        <v>0</v>
      </c>
      <c r="E11" s="4">
        <f>E5-$E$5*E13</f>
        <v>0</v>
      </c>
      <c r="F11" s="4">
        <f>F5-$E$5*F13</f>
        <v>3</v>
      </c>
      <c r="G11" s="4">
        <f>G5-$E$5*G13</f>
        <v>2.5</v>
      </c>
      <c r="H11" s="4">
        <f>H5-$E$5*H13</f>
        <v>1</v>
      </c>
      <c r="I11" s="4">
        <f>I5-$E$5*I13</f>
        <v>0</v>
      </c>
      <c r="J11" s="4">
        <f>J5-$E$5*J13</f>
        <v>-0.25</v>
      </c>
      <c r="K11" s="4">
        <f>K5-$E$5*K13</f>
        <v>75</v>
      </c>
      <c r="L11" s="6">
        <f>K11/F11</f>
        <v>25</v>
      </c>
    </row>
    <row r="12" spans="1:14" ht="12.75" customHeight="1" x14ac:dyDescent="0.25">
      <c r="C12" s="3" t="s">
        <v>5</v>
      </c>
      <c r="D12" s="4">
        <f>D6-$E$6*D13</f>
        <v>0</v>
      </c>
      <c r="E12" s="4">
        <f>E6-$E$6*E13</f>
        <v>0</v>
      </c>
      <c r="F12" s="4">
        <f>F6-$E$6*F13</f>
        <v>1</v>
      </c>
      <c r="G12" s="4">
        <f>G6-$E$6*G13</f>
        <v>-1</v>
      </c>
      <c r="H12" s="4">
        <f>H6-$E$6*H13</f>
        <v>0</v>
      </c>
      <c r="I12" s="4">
        <f>I6-$E$6*I13</f>
        <v>1</v>
      </c>
      <c r="J12" s="4">
        <f>J6-$E$6*J13</f>
        <v>-0.5</v>
      </c>
      <c r="K12" s="4">
        <f>K6-$E$6*K13</f>
        <v>70</v>
      </c>
      <c r="L12" s="6">
        <f>K12/F12</f>
        <v>70</v>
      </c>
    </row>
    <row r="13" spans="1:14" ht="12.75" customHeight="1" x14ac:dyDescent="0.25">
      <c r="C13" s="3" t="s">
        <v>2</v>
      </c>
      <c r="D13" s="4">
        <f>D7/$E$7</f>
        <v>0</v>
      </c>
      <c r="E13" s="4">
        <f>E7/$E$7</f>
        <v>1</v>
      </c>
      <c r="F13" s="4">
        <f>F7/$E$7</f>
        <v>0</v>
      </c>
      <c r="G13" s="4">
        <f>G7/$E$7</f>
        <v>0.5</v>
      </c>
      <c r="H13" s="4">
        <f>H7/$E$7</f>
        <v>0</v>
      </c>
      <c r="I13" s="4">
        <f>I7/$E$7</f>
        <v>0</v>
      </c>
      <c r="J13" s="4">
        <f>J7/$E$7</f>
        <v>0.25</v>
      </c>
      <c r="K13" s="4">
        <f>K7/$E$7</f>
        <v>15</v>
      </c>
      <c r="L13" s="6" t="e">
        <f>K13/F13</f>
        <v>#DIV/0!</v>
      </c>
    </row>
    <row r="15" spans="1:14" ht="12.75" customHeight="1" x14ac:dyDescent="0.25">
      <c r="C15" s="2" t="s">
        <v>0</v>
      </c>
      <c r="D15" s="2" t="s">
        <v>1</v>
      </c>
      <c r="E15" s="2" t="s">
        <v>2</v>
      </c>
      <c r="F15" s="2" t="s">
        <v>3</v>
      </c>
      <c r="G15" s="2" t="s">
        <v>13</v>
      </c>
      <c r="H15" s="2" t="s">
        <v>4</v>
      </c>
      <c r="I15" s="2" t="s">
        <v>5</v>
      </c>
      <c r="J15" s="2" t="s">
        <v>6</v>
      </c>
      <c r="K15" s="2" t="s">
        <v>7</v>
      </c>
    </row>
    <row r="16" spans="1:14" ht="12.75" customHeight="1" x14ac:dyDescent="0.25">
      <c r="C16" s="3" t="s">
        <v>1</v>
      </c>
      <c r="D16" s="4">
        <f>D10-$F$10*D17</f>
        <v>1</v>
      </c>
      <c r="E16" s="4">
        <f>E10-$F$10*E17</f>
        <v>0</v>
      </c>
      <c r="F16" s="4">
        <f>F10-$F$10*F17</f>
        <v>0</v>
      </c>
      <c r="G16" s="4">
        <f>G10-$F$10*G17</f>
        <v>4.3333333333333339</v>
      </c>
      <c r="H16" s="4">
        <f>H10-$F$10*H17</f>
        <v>1.3333333333333333</v>
      </c>
      <c r="I16" s="4">
        <f>I10-$F$10*I17</f>
        <v>0</v>
      </c>
      <c r="J16" s="4">
        <f>J10-$F$10*J17</f>
        <v>1.1666666666666667</v>
      </c>
      <c r="K16" s="4">
        <f>K10-$F$10*K17</f>
        <v>190</v>
      </c>
    </row>
    <row r="17" spans="3:11" ht="12.75" customHeight="1" x14ac:dyDescent="0.25">
      <c r="C17" s="3" t="s">
        <v>3</v>
      </c>
      <c r="D17" s="4">
        <f>D11/$F$11</f>
        <v>0</v>
      </c>
      <c r="E17" s="4">
        <f>E11/$F$11</f>
        <v>0</v>
      </c>
      <c r="F17" s="4">
        <f>F11/$F$11</f>
        <v>1</v>
      </c>
      <c r="G17" s="4">
        <f>G11/$F$11</f>
        <v>0.83333333333333337</v>
      </c>
      <c r="H17" s="4">
        <f>H11/$F$11</f>
        <v>0.33333333333333331</v>
      </c>
      <c r="I17" s="4">
        <f>I11/$F$11</f>
        <v>0</v>
      </c>
      <c r="J17" s="4">
        <f>J11/$F$11</f>
        <v>-8.3333333333333329E-2</v>
      </c>
      <c r="K17" s="4">
        <f>K11/$F$11</f>
        <v>25</v>
      </c>
    </row>
    <row r="18" spans="3:11" ht="12.75" customHeight="1" x14ac:dyDescent="0.25">
      <c r="C18" s="3" t="s">
        <v>5</v>
      </c>
      <c r="D18" s="4">
        <f>D12-$F$12*D17</f>
        <v>0</v>
      </c>
      <c r="E18" s="4">
        <f>E12-$F$12*E17</f>
        <v>0</v>
      </c>
      <c r="F18" s="4">
        <f>F12-$F$12*F17</f>
        <v>0</v>
      </c>
      <c r="G18" s="4">
        <f>G12-$F$12*G17</f>
        <v>-1.8333333333333335</v>
      </c>
      <c r="H18" s="4">
        <f>H12-$F$12*H17</f>
        <v>-0.33333333333333331</v>
      </c>
      <c r="I18" s="4">
        <f>I12-$F$12*I17</f>
        <v>1</v>
      </c>
      <c r="J18" s="4">
        <f>J12-$F$12*J17</f>
        <v>-0.41666666666666669</v>
      </c>
      <c r="K18" s="4">
        <f>K12-$F$12*K17</f>
        <v>45</v>
      </c>
    </row>
    <row r="19" spans="3:11" ht="12.75" customHeight="1" x14ac:dyDescent="0.25">
      <c r="C19" s="3" t="s">
        <v>2</v>
      </c>
      <c r="D19" s="4">
        <f>D13-$F$13*D17</f>
        <v>0</v>
      </c>
      <c r="E19" s="4">
        <f>E13-$F$13*E17</f>
        <v>1</v>
      </c>
      <c r="F19" s="4">
        <f>F13-$F$13*F17</f>
        <v>0</v>
      </c>
      <c r="G19" s="4">
        <f>G13-$F$13*G17</f>
        <v>0.5</v>
      </c>
      <c r="H19" s="4">
        <f>H13-$F$13*H17</f>
        <v>0</v>
      </c>
      <c r="I19" s="4">
        <f>I13-$F$13*I17</f>
        <v>0</v>
      </c>
      <c r="J19" s="4">
        <f>J13-$F$13*J17</f>
        <v>0.25</v>
      </c>
      <c r="K19" s="4">
        <f>K13-$F$13*K17</f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07C1-DB8E-4D1F-B07C-5D249365F2DD}">
  <sheetPr codeName="Planilha7"/>
  <dimension ref="A2:J11"/>
  <sheetViews>
    <sheetView workbookViewId="0">
      <selection activeCell="J16" sqref="J16"/>
    </sheetView>
  </sheetViews>
  <sheetFormatPr defaultRowHeight="12.75" customHeight="1" x14ac:dyDescent="0.25"/>
  <cols>
    <col min="1" max="9" width="9.140625" style="6"/>
    <col min="10" max="10" width="9.140625" style="1"/>
  </cols>
  <sheetData>
    <row r="2" spans="1:10" ht="12.75" customHeight="1" x14ac:dyDescent="0.25">
      <c r="H2" s="1"/>
      <c r="I2"/>
      <c r="J2"/>
    </row>
    <row r="3" spans="1:10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7</v>
      </c>
      <c r="J3"/>
    </row>
    <row r="4" spans="1:10" ht="12.75" customHeight="1" x14ac:dyDescent="0.25">
      <c r="A4" s="6" t="s">
        <v>12</v>
      </c>
      <c r="C4" s="3" t="s">
        <v>1</v>
      </c>
      <c r="D4" s="4">
        <v>1</v>
      </c>
      <c r="E4" s="4">
        <v>-4</v>
      </c>
      <c r="F4" s="4">
        <v>-1</v>
      </c>
      <c r="G4" s="4">
        <v>0</v>
      </c>
      <c r="H4" s="4">
        <v>0</v>
      </c>
      <c r="I4" s="4">
        <v>0</v>
      </c>
      <c r="J4"/>
    </row>
    <row r="5" spans="1:10" ht="12.75" customHeight="1" x14ac:dyDescent="0.25">
      <c r="C5" s="3" t="s">
        <v>4</v>
      </c>
      <c r="D5" s="4">
        <v>0</v>
      </c>
      <c r="E5" s="4">
        <v>2</v>
      </c>
      <c r="F5" s="4">
        <v>3</v>
      </c>
      <c r="G5" s="4">
        <v>1</v>
      </c>
      <c r="H5" s="4">
        <v>0</v>
      </c>
      <c r="I5" s="4">
        <v>12</v>
      </c>
      <c r="J5">
        <f>I5/E5</f>
        <v>6</v>
      </c>
    </row>
    <row r="6" spans="1:10" ht="12.75" customHeight="1" x14ac:dyDescent="0.25">
      <c r="C6" s="3" t="s">
        <v>5</v>
      </c>
      <c r="D6" s="4">
        <v>0</v>
      </c>
      <c r="E6" s="4">
        <v>2</v>
      </c>
      <c r="F6" s="4">
        <v>1</v>
      </c>
      <c r="G6" s="4">
        <v>0</v>
      </c>
      <c r="H6" s="4">
        <v>1</v>
      </c>
      <c r="I6" s="4">
        <v>8</v>
      </c>
      <c r="J6">
        <f>I6/E6</f>
        <v>4</v>
      </c>
    </row>
    <row r="8" spans="1:10" ht="12.75" customHeight="1" x14ac:dyDescent="0.25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7</v>
      </c>
    </row>
    <row r="9" spans="1:10" ht="12.75" customHeight="1" x14ac:dyDescent="0.25">
      <c r="C9" s="3" t="s">
        <v>1</v>
      </c>
      <c r="D9" s="4">
        <f>D4-$E$4*D11</f>
        <v>1</v>
      </c>
      <c r="E9" s="4">
        <f>E4-$E$4*E11</f>
        <v>0</v>
      </c>
      <c r="F9" s="4">
        <f>F4-$E$4*F11</f>
        <v>1</v>
      </c>
      <c r="G9" s="4">
        <f>G4-$E$4*G11</f>
        <v>0</v>
      </c>
      <c r="H9" s="4">
        <f>H4-$E$4*H11</f>
        <v>2</v>
      </c>
      <c r="I9" s="4">
        <f>I4-$E$4*I11</f>
        <v>16</v>
      </c>
    </row>
    <row r="10" spans="1:10" ht="12.75" customHeight="1" x14ac:dyDescent="0.25">
      <c r="C10" s="3" t="s">
        <v>4</v>
      </c>
      <c r="D10" s="4">
        <f>D5-$E$5*D11</f>
        <v>0</v>
      </c>
      <c r="E10" s="4">
        <f>E5-$E$5*E11</f>
        <v>0</v>
      </c>
      <c r="F10" s="4">
        <f>F5-$E$5*F11</f>
        <v>2</v>
      </c>
      <c r="G10" s="4">
        <f>G5-$E$5*G11</f>
        <v>1</v>
      </c>
      <c r="H10" s="4">
        <f>H5-$E$5*H11</f>
        <v>-1</v>
      </c>
      <c r="I10" s="4">
        <f>I5-$E$5*I11</f>
        <v>4</v>
      </c>
    </row>
    <row r="11" spans="1:10" ht="12.75" customHeight="1" x14ac:dyDescent="0.25">
      <c r="C11" s="3" t="s">
        <v>2</v>
      </c>
      <c r="D11" s="4">
        <f>D6/$E$6</f>
        <v>0</v>
      </c>
      <c r="E11" s="4">
        <f>E6/$E$6</f>
        <v>1</v>
      </c>
      <c r="F11" s="4">
        <f>F6/$E$6</f>
        <v>0.5</v>
      </c>
      <c r="G11" s="4">
        <f>G6/$E$6</f>
        <v>0</v>
      </c>
      <c r="H11" s="4">
        <f>H6/$E$6</f>
        <v>0.5</v>
      </c>
      <c r="I11" s="4">
        <f>I6/$E$6</f>
        <v>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981F-2D71-41B0-8BD4-71C177A20D7F}">
  <sheetPr codeName="Planilha8"/>
  <dimension ref="A2:Q9"/>
  <sheetViews>
    <sheetView workbookViewId="0">
      <selection activeCell="D9" sqref="D9"/>
    </sheetView>
  </sheetViews>
  <sheetFormatPr defaultRowHeight="12.75" customHeight="1" x14ac:dyDescent="0.25"/>
  <cols>
    <col min="1" max="16" width="9.140625" style="6"/>
    <col min="17" max="17" width="9.140625" style="1"/>
  </cols>
  <sheetData>
    <row r="2" spans="1:17" ht="12.75" customHeight="1" x14ac:dyDescent="0.25">
      <c r="J2" s="1"/>
      <c r="K2"/>
      <c r="L2"/>
      <c r="M2"/>
      <c r="N2"/>
      <c r="O2"/>
      <c r="P2"/>
      <c r="Q2"/>
    </row>
    <row r="3" spans="1:17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13</v>
      </c>
      <c r="H3" s="2" t="s">
        <v>14</v>
      </c>
      <c r="I3" s="2" t="s">
        <v>4</v>
      </c>
      <c r="J3" s="2" t="s">
        <v>5</v>
      </c>
      <c r="K3" s="2" t="s">
        <v>6</v>
      </c>
      <c r="L3" s="2" t="s">
        <v>15</v>
      </c>
      <c r="M3" s="2" t="s">
        <v>16</v>
      </c>
      <c r="N3" s="2" t="s">
        <v>7</v>
      </c>
      <c r="Q3"/>
    </row>
    <row r="4" spans="1:17" ht="12.75" customHeight="1" x14ac:dyDescent="0.25">
      <c r="A4" s="6" t="s">
        <v>12</v>
      </c>
      <c r="C4" s="3" t="s">
        <v>1</v>
      </c>
      <c r="D4" s="4">
        <v>1</v>
      </c>
      <c r="E4" s="4">
        <v>-8</v>
      </c>
      <c r="F4" s="4">
        <v>-4</v>
      </c>
      <c r="G4" s="4">
        <v>-4</v>
      </c>
      <c r="H4" s="4">
        <v>-6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Q4"/>
    </row>
    <row r="5" spans="1:17" ht="12.75" customHeight="1" x14ac:dyDescent="0.25">
      <c r="C5" s="3" t="s">
        <v>4</v>
      </c>
      <c r="D5" s="4">
        <v>0</v>
      </c>
      <c r="E5" s="4">
        <v>2</v>
      </c>
      <c r="F5" s="4">
        <v>0</v>
      </c>
      <c r="G5" s="4">
        <v>4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360</v>
      </c>
      <c r="Q5"/>
    </row>
    <row r="6" spans="1:17" ht="12.75" customHeight="1" x14ac:dyDescent="0.25">
      <c r="C6" s="3" t="s">
        <v>5</v>
      </c>
      <c r="D6" s="4">
        <v>0</v>
      </c>
      <c r="E6" s="4">
        <v>3</v>
      </c>
      <c r="F6" s="4">
        <v>2</v>
      </c>
      <c r="G6" s="4">
        <v>8</v>
      </c>
      <c r="H6" s="4">
        <v>0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380</v>
      </c>
      <c r="Q6"/>
    </row>
    <row r="7" spans="1:17" ht="12.75" customHeight="1" x14ac:dyDescent="0.25">
      <c r="C7" s="3" t="s">
        <v>6</v>
      </c>
      <c r="D7" s="4">
        <v>0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800</v>
      </c>
      <c r="Q7"/>
    </row>
    <row r="8" spans="1:17" ht="12.75" customHeight="1" x14ac:dyDescent="0.25">
      <c r="C8" s="3" t="s">
        <v>15</v>
      </c>
      <c r="D8" s="4">
        <v>0</v>
      </c>
      <c r="E8" s="4">
        <v>0</v>
      </c>
      <c r="F8" s="4">
        <v>3</v>
      </c>
      <c r="G8" s="4">
        <v>0</v>
      </c>
      <c r="H8" s="4">
        <v>2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130</v>
      </c>
      <c r="Q8"/>
    </row>
    <row r="9" spans="1:17" ht="12.75" customHeight="1" x14ac:dyDescent="0.25">
      <c r="C9" s="3" t="s">
        <v>16</v>
      </c>
      <c r="D9" s="4">
        <v>0</v>
      </c>
      <c r="E9" s="4">
        <v>1</v>
      </c>
      <c r="F9" s="4">
        <v>0</v>
      </c>
      <c r="G9" s="4">
        <v>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150</v>
      </c>
      <c r="Q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3557-9C7E-4880-BA7F-8542E0228C47}">
  <sheetPr codeName="Planilha9"/>
  <dimension ref="A2:Q25"/>
  <sheetViews>
    <sheetView tabSelected="1" workbookViewId="0">
      <selection activeCell="L15" sqref="L15"/>
    </sheetView>
  </sheetViews>
  <sheetFormatPr defaultRowHeight="12.75" customHeight="1" x14ac:dyDescent="0.25"/>
  <cols>
    <col min="1" max="16" width="9.140625" style="6"/>
    <col min="17" max="17" width="9.140625" style="1"/>
  </cols>
  <sheetData>
    <row r="2" spans="1:17" ht="12.75" customHeight="1" x14ac:dyDescent="0.25">
      <c r="J2" s="1"/>
      <c r="K2"/>
      <c r="L2"/>
      <c r="M2"/>
      <c r="N2"/>
      <c r="O2"/>
      <c r="P2"/>
      <c r="Q2"/>
    </row>
    <row r="3" spans="1:17" ht="12.75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13</v>
      </c>
      <c r="H3" s="2" t="s">
        <v>14</v>
      </c>
      <c r="I3" s="2" t="s">
        <v>4</v>
      </c>
      <c r="J3" s="2" t="s">
        <v>5</v>
      </c>
      <c r="K3" s="2" t="s">
        <v>6</v>
      </c>
      <c r="L3" s="2" t="s">
        <v>15</v>
      </c>
      <c r="M3" s="2" t="s">
        <v>16</v>
      </c>
      <c r="N3" s="2" t="s">
        <v>7</v>
      </c>
      <c r="Q3"/>
    </row>
    <row r="4" spans="1:17" ht="12.75" customHeight="1" x14ac:dyDescent="0.25">
      <c r="A4" s="6" t="s">
        <v>12</v>
      </c>
      <c r="C4" s="3" t="s">
        <v>1</v>
      </c>
      <c r="D4" s="4">
        <v>1</v>
      </c>
      <c r="E4" s="4">
        <v>-8</v>
      </c>
      <c r="F4" s="4">
        <v>-4</v>
      </c>
      <c r="G4" s="4">
        <v>-4</v>
      </c>
      <c r="H4" s="4">
        <v>-6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Q4"/>
    </row>
    <row r="5" spans="1:17" ht="12.75" customHeight="1" x14ac:dyDescent="0.25">
      <c r="C5" s="3" t="s">
        <v>4</v>
      </c>
      <c r="D5" s="4">
        <v>0</v>
      </c>
      <c r="E5" s="4">
        <v>2</v>
      </c>
      <c r="F5" s="4">
        <v>0</v>
      </c>
      <c r="G5" s="4">
        <v>4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360</v>
      </c>
      <c r="O5" s="6">
        <f>N5/E5</f>
        <v>180</v>
      </c>
      <c r="Q5"/>
    </row>
    <row r="6" spans="1:17" ht="12.75" customHeight="1" x14ac:dyDescent="0.25">
      <c r="C6" s="3" t="s">
        <v>5</v>
      </c>
      <c r="D6" s="4">
        <v>0</v>
      </c>
      <c r="E6" s="4">
        <v>3</v>
      </c>
      <c r="F6" s="4">
        <v>2</v>
      </c>
      <c r="G6" s="4">
        <v>8</v>
      </c>
      <c r="H6" s="4">
        <v>0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380</v>
      </c>
      <c r="O6" s="6">
        <f>N6/E6</f>
        <v>126.66666666666667</v>
      </c>
      <c r="Q6"/>
    </row>
    <row r="7" spans="1:17" ht="12.75" customHeight="1" x14ac:dyDescent="0.25">
      <c r="C7" s="3" t="s">
        <v>6</v>
      </c>
      <c r="D7" s="4">
        <v>0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800</v>
      </c>
      <c r="O7" s="6">
        <f>N7/E7</f>
        <v>800</v>
      </c>
      <c r="Q7"/>
    </row>
    <row r="8" spans="1:17" ht="12.75" customHeight="1" x14ac:dyDescent="0.25">
      <c r="C8" s="3" t="s">
        <v>15</v>
      </c>
      <c r="D8" s="4">
        <v>0</v>
      </c>
      <c r="E8" s="4">
        <v>0</v>
      </c>
      <c r="F8" s="4">
        <v>3</v>
      </c>
      <c r="G8" s="4">
        <v>0</v>
      </c>
      <c r="H8" s="4">
        <v>2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130</v>
      </c>
      <c r="O8" s="6" t="e">
        <f>N8/E8</f>
        <v>#DIV/0!</v>
      </c>
      <c r="Q8"/>
    </row>
    <row r="9" spans="1:17" ht="12.75" customHeight="1" x14ac:dyDescent="0.25">
      <c r="C9" s="3" t="s">
        <v>16</v>
      </c>
      <c r="D9" s="4">
        <v>0</v>
      </c>
      <c r="E9" s="4">
        <v>1</v>
      </c>
      <c r="F9" s="4">
        <v>0</v>
      </c>
      <c r="G9" s="4">
        <v>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150</v>
      </c>
      <c r="O9" s="6">
        <f>N9/E9</f>
        <v>150</v>
      </c>
      <c r="Q9"/>
    </row>
    <row r="11" spans="1:17" ht="12.75" customHeight="1" x14ac:dyDescent="0.25">
      <c r="C11" s="2" t="s">
        <v>0</v>
      </c>
      <c r="D11" s="2" t="s">
        <v>1</v>
      </c>
      <c r="E11" s="2" t="s">
        <v>2</v>
      </c>
      <c r="F11" s="2" t="s">
        <v>3</v>
      </c>
      <c r="G11" s="2" t="s">
        <v>13</v>
      </c>
      <c r="H11" s="2" t="s">
        <v>14</v>
      </c>
      <c r="I11" s="2" t="s">
        <v>4</v>
      </c>
      <c r="J11" s="2" t="s">
        <v>5</v>
      </c>
      <c r="K11" s="2" t="s">
        <v>6</v>
      </c>
      <c r="L11" s="2" t="s">
        <v>15</v>
      </c>
      <c r="M11" s="2" t="s">
        <v>16</v>
      </c>
      <c r="N11" s="2" t="s">
        <v>7</v>
      </c>
    </row>
    <row r="12" spans="1:17" ht="12.75" customHeight="1" x14ac:dyDescent="0.25">
      <c r="C12" s="3" t="s">
        <v>1</v>
      </c>
      <c r="D12" s="4">
        <f>D4-$E$4*D14</f>
        <v>1</v>
      </c>
      <c r="E12" s="4">
        <f>E4-$E$4*E14</f>
        <v>0</v>
      </c>
      <c r="F12" s="4">
        <f>F4-$E$4*F14</f>
        <v>1.333333333333333</v>
      </c>
      <c r="G12" s="4">
        <f>G4-$E$4*G14</f>
        <v>17.333333333333332</v>
      </c>
      <c r="H12" s="4">
        <f>H4-$E$4*H14</f>
        <v>-6</v>
      </c>
      <c r="I12" s="4">
        <f>I4-$E$4*I14</f>
        <v>0</v>
      </c>
      <c r="J12" s="4">
        <f>J4-$E$4*J14</f>
        <v>2.6666666666666665</v>
      </c>
      <c r="K12" s="4">
        <f>K4-$E$4*K14</f>
        <v>0</v>
      </c>
      <c r="L12" s="4">
        <f>L4-$E$4*L14</f>
        <v>0</v>
      </c>
      <c r="M12" s="4">
        <f>M4-$E$4*M14</f>
        <v>0</v>
      </c>
      <c r="N12" s="4">
        <f>N4-$E$4*N14</f>
        <v>1013.3333333333334</v>
      </c>
    </row>
    <row r="13" spans="1:17" ht="12.75" customHeight="1" x14ac:dyDescent="0.25">
      <c r="C13" s="3" t="s">
        <v>4</v>
      </c>
      <c r="D13" s="4">
        <f>D5-$E$5*D14</f>
        <v>0</v>
      </c>
      <c r="E13" s="4">
        <f>E5-$E$5*E14</f>
        <v>0</v>
      </c>
      <c r="F13" s="4">
        <f>F5-$E$5*F14</f>
        <v>-1.3333333333333333</v>
      </c>
      <c r="G13" s="4">
        <f>G5-$E$5*G14</f>
        <v>-1.333333333333333</v>
      </c>
      <c r="H13" s="4">
        <f>H5-$E$5*H14</f>
        <v>1</v>
      </c>
      <c r="I13" s="4">
        <f>I5-$E$5*I14</f>
        <v>1</v>
      </c>
      <c r="J13" s="4">
        <f>J5-$E$5*J14</f>
        <v>-0.66666666666666663</v>
      </c>
      <c r="K13" s="4">
        <f>K5-$E$5*K14</f>
        <v>0</v>
      </c>
      <c r="L13" s="4">
        <f>L5-$E$5*L14</f>
        <v>0</v>
      </c>
      <c r="M13" s="4">
        <f>M5-$E$5*M14</f>
        <v>0</v>
      </c>
      <c r="N13" s="4">
        <f>N5-$E$5*N14</f>
        <v>106.66666666666666</v>
      </c>
      <c r="O13" s="6">
        <f>N13/H13</f>
        <v>106.66666666666666</v>
      </c>
    </row>
    <row r="14" spans="1:17" ht="12.75" customHeight="1" x14ac:dyDescent="0.25">
      <c r="C14" s="3" t="s">
        <v>2</v>
      </c>
      <c r="D14" s="4">
        <f>D6/$E$6</f>
        <v>0</v>
      </c>
      <c r="E14" s="4">
        <f>E6/$E$6</f>
        <v>1</v>
      </c>
      <c r="F14" s="4">
        <f>F6/$E$6</f>
        <v>0.66666666666666663</v>
      </c>
      <c r="G14" s="4">
        <f>G6/$E$6</f>
        <v>2.6666666666666665</v>
      </c>
      <c r="H14" s="4">
        <f>H6/$E$6</f>
        <v>0</v>
      </c>
      <c r="I14" s="4">
        <f>I6/$E$6</f>
        <v>0</v>
      </c>
      <c r="J14" s="4">
        <f>J6/$E$6</f>
        <v>0.33333333333333331</v>
      </c>
      <c r="K14" s="4">
        <f>K6/$E$6</f>
        <v>0</v>
      </c>
      <c r="L14" s="4">
        <f>L6/$E$6</f>
        <v>0</v>
      </c>
      <c r="M14" s="4">
        <f>M6/$E$6</f>
        <v>0</v>
      </c>
      <c r="N14" s="4">
        <f>N6/$E$6</f>
        <v>126.66666666666667</v>
      </c>
      <c r="O14" s="6" t="e">
        <f>N14/H14</f>
        <v>#DIV/0!</v>
      </c>
    </row>
    <row r="15" spans="1:17" ht="12.75" customHeight="1" x14ac:dyDescent="0.25">
      <c r="C15" s="3" t="s">
        <v>6</v>
      </c>
      <c r="D15" s="4">
        <f>D7-$E$7*D14</f>
        <v>0</v>
      </c>
      <c r="E15" s="4">
        <f>E7-$E$7*E14</f>
        <v>0</v>
      </c>
      <c r="F15" s="4">
        <f>F7-$E$7*F14</f>
        <v>0.33333333333333337</v>
      </c>
      <c r="G15" s="4">
        <f>G7-$E$7*G14</f>
        <v>-1.6666666666666665</v>
      </c>
      <c r="H15" s="4">
        <f>H7-$E$7*H14</f>
        <v>1</v>
      </c>
      <c r="I15" s="4">
        <f>I7-$E$7*I14</f>
        <v>0</v>
      </c>
      <c r="J15" s="4">
        <f>J7-$E$7*J14</f>
        <v>-0.33333333333333331</v>
      </c>
      <c r="K15" s="4">
        <f>K7-$E$7*K14</f>
        <v>1</v>
      </c>
      <c r="L15" s="4">
        <f>L7-$E$7*L14</f>
        <v>0</v>
      </c>
      <c r="M15" s="4">
        <f>M7-$E$7*M14</f>
        <v>0</v>
      </c>
      <c r="N15" s="4">
        <f>N7-$E$7*N14</f>
        <v>673.33333333333337</v>
      </c>
      <c r="O15" s="6">
        <f>N15/H15</f>
        <v>673.33333333333337</v>
      </c>
    </row>
    <row r="16" spans="1:17" ht="12.75" customHeight="1" x14ac:dyDescent="0.25">
      <c r="C16" s="3" t="s">
        <v>15</v>
      </c>
      <c r="D16" s="4">
        <f>D8-$E$8*D14</f>
        <v>0</v>
      </c>
      <c r="E16" s="4">
        <f>E8-$E$8*E14</f>
        <v>0</v>
      </c>
      <c r="F16" s="4">
        <f>F8-$E$8*F14</f>
        <v>3</v>
      </c>
      <c r="G16" s="4">
        <f>G8-$E$8*G14</f>
        <v>0</v>
      </c>
      <c r="H16" s="4">
        <f>H8-$E$8*H14</f>
        <v>2</v>
      </c>
      <c r="I16" s="4">
        <f>I8-$E$8*I14</f>
        <v>0</v>
      </c>
      <c r="J16" s="4">
        <f>J8-$E$8*J14</f>
        <v>0</v>
      </c>
      <c r="K16" s="4">
        <f>K8-$E$8*K14</f>
        <v>0</v>
      </c>
      <c r="L16" s="4">
        <f>L8-$E$8*L14</f>
        <v>1</v>
      </c>
      <c r="M16" s="4">
        <f>M8-$E$8*M14</f>
        <v>0</v>
      </c>
      <c r="N16" s="4">
        <f>N8-$E$8*N14</f>
        <v>130</v>
      </c>
      <c r="O16" s="6">
        <f>N16/H16</f>
        <v>65</v>
      </c>
    </row>
    <row r="17" spans="3:15" ht="12.75" customHeight="1" x14ac:dyDescent="0.25">
      <c r="C17" s="3" t="s">
        <v>16</v>
      </c>
      <c r="D17" s="4">
        <f>D9-$E$9*D14</f>
        <v>0</v>
      </c>
      <c r="E17" s="4">
        <f>E9-$E$9*E14</f>
        <v>0</v>
      </c>
      <c r="F17" s="4">
        <f>F9-$E$9*F14</f>
        <v>-0.66666666666666663</v>
      </c>
      <c r="G17" s="4">
        <f>G9-$E$9*G14</f>
        <v>1.3333333333333335</v>
      </c>
      <c r="H17" s="4">
        <f>H9-$E$9*H14</f>
        <v>0</v>
      </c>
      <c r="I17" s="4">
        <f>I9-$E$9*I14</f>
        <v>0</v>
      </c>
      <c r="J17" s="4">
        <f>J9-$E$9*J14</f>
        <v>-0.33333333333333331</v>
      </c>
      <c r="K17" s="4">
        <f>K9-$E$9*K14</f>
        <v>0</v>
      </c>
      <c r="L17" s="4">
        <f>L9-$E$9*L14</f>
        <v>0</v>
      </c>
      <c r="M17" s="4">
        <f>M9-$E$9*M14</f>
        <v>1</v>
      </c>
      <c r="N17" s="4">
        <f>N9-$E$9*N14</f>
        <v>23.333333333333329</v>
      </c>
      <c r="O17" s="6" t="e">
        <f>N17/H17</f>
        <v>#DIV/0!</v>
      </c>
    </row>
    <row r="19" spans="3:15" ht="12.75" customHeight="1" x14ac:dyDescent="0.25">
      <c r="C19" s="2" t="s">
        <v>0</v>
      </c>
      <c r="D19" s="2" t="s">
        <v>1</v>
      </c>
      <c r="E19" s="2" t="s">
        <v>2</v>
      </c>
      <c r="F19" s="2" t="s">
        <v>3</v>
      </c>
      <c r="G19" s="2" t="s">
        <v>13</v>
      </c>
      <c r="H19" s="2" t="s">
        <v>14</v>
      </c>
      <c r="I19" s="2" t="s">
        <v>4</v>
      </c>
      <c r="J19" s="2" t="s">
        <v>5</v>
      </c>
      <c r="K19" s="2" t="s">
        <v>6</v>
      </c>
      <c r="L19" s="2" t="s">
        <v>15</v>
      </c>
      <c r="M19" s="2" t="s">
        <v>16</v>
      </c>
      <c r="N19" s="2" t="s">
        <v>7</v>
      </c>
    </row>
    <row r="20" spans="3:15" ht="12.75" customHeight="1" x14ac:dyDescent="0.25">
      <c r="C20" s="3" t="s">
        <v>1</v>
      </c>
      <c r="D20" s="4">
        <f>D12-$H$12*D24</f>
        <v>1</v>
      </c>
      <c r="E20" s="4">
        <f>E12-$H$12*E24</f>
        <v>0</v>
      </c>
      <c r="F20" s="4">
        <f>F12-$H$12*F24</f>
        <v>10.333333333333332</v>
      </c>
      <c r="G20" s="4">
        <f>G12-$H$12*G24</f>
        <v>17.333333333333332</v>
      </c>
      <c r="H20" s="4">
        <f>H12-$H$12*H24</f>
        <v>0</v>
      </c>
      <c r="I20" s="4">
        <f>I12-$H$12*I24</f>
        <v>0</v>
      </c>
      <c r="J20" s="4">
        <f>J12-$H$12*J24</f>
        <v>2.6666666666666665</v>
      </c>
      <c r="K20" s="4">
        <f>K12-$H$12*K24</f>
        <v>0</v>
      </c>
      <c r="L20" s="4">
        <f>L12-$H$12*L24</f>
        <v>3</v>
      </c>
      <c r="M20" s="4">
        <f>M12-$H$12*M24</f>
        <v>0</v>
      </c>
      <c r="N20" s="4">
        <f>N12-$H$12*N24</f>
        <v>1403.3333333333335</v>
      </c>
    </row>
    <row r="21" spans="3:15" ht="12.75" customHeight="1" x14ac:dyDescent="0.25">
      <c r="C21" s="3" t="s">
        <v>4</v>
      </c>
      <c r="D21" s="4">
        <f>D13-$H$13*D24</f>
        <v>0</v>
      </c>
      <c r="E21" s="4">
        <f>E13-$H$13*E24</f>
        <v>0</v>
      </c>
      <c r="F21" s="4">
        <f>F13-$H$13*F24</f>
        <v>-2.833333333333333</v>
      </c>
      <c r="G21" s="4">
        <f>G13-$H$13*G24</f>
        <v>-1.333333333333333</v>
      </c>
      <c r="H21" s="4">
        <f>H13-$H$13*H24</f>
        <v>0</v>
      </c>
      <c r="I21" s="4">
        <f>I13-$H$13*I24</f>
        <v>1</v>
      </c>
      <c r="J21" s="4">
        <f>J13-$H$13*J24</f>
        <v>-0.66666666666666663</v>
      </c>
      <c r="K21" s="4">
        <f>K13-$H$13*K24</f>
        <v>0</v>
      </c>
      <c r="L21" s="4">
        <f>L13-$H$13*L24</f>
        <v>-0.5</v>
      </c>
      <c r="M21" s="4">
        <f>M13-$H$13*M24</f>
        <v>0</v>
      </c>
      <c r="N21" s="4">
        <f>N13-$H$13*N24</f>
        <v>41.666666666666657</v>
      </c>
    </row>
    <row r="22" spans="3:15" ht="12.75" customHeight="1" x14ac:dyDescent="0.25">
      <c r="C22" s="3" t="s">
        <v>2</v>
      </c>
      <c r="D22" s="4">
        <f>D14-$H$14*D24</f>
        <v>0</v>
      </c>
      <c r="E22" s="4">
        <f>E14-$H$14*E24</f>
        <v>1</v>
      </c>
      <c r="F22" s="4">
        <f>F14-$H$14*F24</f>
        <v>0.66666666666666663</v>
      </c>
      <c r="G22" s="4">
        <f>G14-$H$14*G24</f>
        <v>2.6666666666666665</v>
      </c>
      <c r="H22" s="4">
        <f>H14-$H$14*H24</f>
        <v>0</v>
      </c>
      <c r="I22" s="4">
        <f>I14-$H$14*I24</f>
        <v>0</v>
      </c>
      <c r="J22" s="4">
        <f>J14-$H$14*J24</f>
        <v>0.33333333333333331</v>
      </c>
      <c r="K22" s="4">
        <f>K14-$H$14*K24</f>
        <v>0</v>
      </c>
      <c r="L22" s="4">
        <f>L14-$H$14*L24</f>
        <v>0</v>
      </c>
      <c r="M22" s="4">
        <f>M14-$H$14*M24</f>
        <v>0</v>
      </c>
      <c r="N22" s="4">
        <f>N14-$H$14*N24</f>
        <v>126.66666666666667</v>
      </c>
    </row>
    <row r="23" spans="3:15" ht="12.75" customHeight="1" x14ac:dyDescent="0.25">
      <c r="C23" s="3" t="s">
        <v>6</v>
      </c>
      <c r="D23" s="4">
        <f>D15-$H$15*D24</f>
        <v>0</v>
      </c>
      <c r="E23" s="4">
        <f>E15-$H$15*E24</f>
        <v>0</v>
      </c>
      <c r="F23" s="4">
        <f>F15-$H$15*F24</f>
        <v>-1.1666666666666665</v>
      </c>
      <c r="G23" s="4">
        <f>G15-$H$15*G24</f>
        <v>-1.6666666666666665</v>
      </c>
      <c r="H23" s="4">
        <f>H15-$H$15*H24</f>
        <v>0</v>
      </c>
      <c r="I23" s="4">
        <f>I15-$H$15*I24</f>
        <v>0</v>
      </c>
      <c r="J23" s="4">
        <f>J15-$H$15*J24</f>
        <v>-0.33333333333333331</v>
      </c>
      <c r="K23" s="4">
        <f>K15-$H$15*K24</f>
        <v>1</v>
      </c>
      <c r="L23" s="4">
        <f>L15-$H$15*L24</f>
        <v>-0.5</v>
      </c>
      <c r="M23" s="4">
        <f>M15-$H$15*M24</f>
        <v>0</v>
      </c>
      <c r="N23" s="4">
        <f>N15-$H$15*N24</f>
        <v>608.33333333333337</v>
      </c>
    </row>
    <row r="24" spans="3:15" ht="12.75" customHeight="1" x14ac:dyDescent="0.25">
      <c r="C24" s="3" t="s">
        <v>14</v>
      </c>
      <c r="D24" s="4">
        <f>D16/$H$16</f>
        <v>0</v>
      </c>
      <c r="E24" s="4">
        <f>E16/$H$16</f>
        <v>0</v>
      </c>
      <c r="F24" s="4">
        <f>F16/$H$16</f>
        <v>1.5</v>
      </c>
      <c r="G24" s="4">
        <f>G16/$H$16</f>
        <v>0</v>
      </c>
      <c r="H24" s="4">
        <f>H16/$H$16</f>
        <v>1</v>
      </c>
      <c r="I24" s="4">
        <f>I16/$H$16</f>
        <v>0</v>
      </c>
      <c r="J24" s="4">
        <f>J16/$H$16</f>
        <v>0</v>
      </c>
      <c r="K24" s="4">
        <f>K16/$H$16</f>
        <v>0</v>
      </c>
      <c r="L24" s="4">
        <f>L16/$H$16</f>
        <v>0.5</v>
      </c>
      <c r="M24" s="4">
        <f>M16/$H$16</f>
        <v>0</v>
      </c>
      <c r="N24" s="4">
        <f>N16/$H$16</f>
        <v>65</v>
      </c>
    </row>
    <row r="25" spans="3:15" ht="12.75" customHeight="1" x14ac:dyDescent="0.25">
      <c r="C25" s="3" t="s">
        <v>16</v>
      </c>
      <c r="D25" s="4">
        <f>D17-$H$17*D24</f>
        <v>0</v>
      </c>
      <c r="E25" s="4">
        <f>E17-$H$17*E24</f>
        <v>0</v>
      </c>
      <c r="F25" s="4">
        <f>F17-$H$17*F24</f>
        <v>-0.66666666666666663</v>
      </c>
      <c r="G25" s="4">
        <f>G17-$H$17*G24</f>
        <v>1.3333333333333335</v>
      </c>
      <c r="H25" s="4">
        <f>H17-$H$17*H24</f>
        <v>0</v>
      </c>
      <c r="I25" s="4">
        <f>I17-$H$17*I24</f>
        <v>0</v>
      </c>
      <c r="J25" s="4">
        <f>J17-$H$17*J24</f>
        <v>-0.33333333333333331</v>
      </c>
      <c r="K25" s="4">
        <f>K17-$H$17*K24</f>
        <v>0</v>
      </c>
      <c r="L25" s="4">
        <f>L17-$H$17*L24</f>
        <v>0</v>
      </c>
      <c r="M25" s="4">
        <f>M17-$H$17*M24</f>
        <v>1</v>
      </c>
      <c r="N25" s="4">
        <f>N17-$H$17*N24</f>
        <v>23.333333333333329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MODELO VAZIO</vt:lpstr>
      <vt:lpstr>EX1 (MANUAL)</vt:lpstr>
      <vt:lpstr>EX1(MACRO)</vt:lpstr>
      <vt:lpstr>EX2</vt:lpstr>
      <vt:lpstr>EX3</vt:lpstr>
      <vt:lpstr>EX4</vt:lpstr>
      <vt:lpstr>EX5</vt:lpstr>
      <vt:lpstr>EX5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Wendell Ramos</cp:lastModifiedBy>
  <dcterms:created xsi:type="dcterms:W3CDTF">2026-04-07T22:13:43Z</dcterms:created>
  <dcterms:modified xsi:type="dcterms:W3CDTF">2026-04-15T06:37:52Z</dcterms:modified>
</cp:coreProperties>
</file>